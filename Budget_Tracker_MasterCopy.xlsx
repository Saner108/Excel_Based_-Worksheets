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esarsanchez/Desktop/School/Excel/Bugeting/"/>
    </mc:Choice>
  </mc:AlternateContent>
  <xr:revisionPtr revIDLastSave="0" documentId="13_ncr:1_{10A21505-1B1C-FA4E-8C93-FB73672B6411}" xr6:coauthVersionLast="47" xr6:coauthVersionMax="47" xr10:uidLastSave="{00000000-0000-0000-0000-000000000000}"/>
  <bookViews>
    <workbookView xWindow="0" yWindow="0" windowWidth="28800" windowHeight="18000" activeTab="1" xr2:uid="{96D41583-DD9B-B445-B877-DBA726AF5871}"/>
  </bookViews>
  <sheets>
    <sheet name="Monthly Spending Template" sheetId="2" r:id="rId1"/>
    <sheet name="Yearly Overview" sheetId="1" r:id="rId2"/>
    <sheet name="Jan" sheetId="3" r:id="rId3"/>
    <sheet name="Feb" sheetId="4" r:id="rId4"/>
    <sheet name="Mar" sheetId="5" r:id="rId5"/>
    <sheet name="Apr" sheetId="6" r:id="rId6"/>
    <sheet name="May" sheetId="7" r:id="rId7"/>
    <sheet name="Jun" sheetId="8" r:id="rId8"/>
    <sheet name="Jul" sheetId="9" r:id="rId9"/>
    <sheet name="Aug" sheetId="10" r:id="rId10"/>
    <sheet name="Sept" sheetId="11" r:id="rId11"/>
    <sheet name="Oct" sheetId="12" r:id="rId12"/>
    <sheet name="Nov" sheetId="13" r:id="rId13"/>
    <sheet name="Dec" sheetId="14" r:id="rId14"/>
  </sheets>
  <externalReferences>
    <externalReference r:id="rId15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9" i="1" l="1"/>
  <c r="P28" i="1"/>
  <c r="P27" i="1"/>
  <c r="P26" i="1"/>
  <c r="P25" i="1"/>
  <c r="P24" i="1"/>
  <c r="P23" i="1"/>
  <c r="P22" i="1"/>
  <c r="P17" i="1"/>
  <c r="P16" i="1"/>
  <c r="P15" i="1"/>
  <c r="P14" i="1"/>
  <c r="P13" i="1"/>
  <c r="P12" i="1"/>
  <c r="P11" i="1"/>
  <c r="O29" i="1"/>
  <c r="O28" i="1"/>
  <c r="O27" i="1"/>
  <c r="O26" i="1"/>
  <c r="O25" i="1"/>
  <c r="O24" i="1"/>
  <c r="O23" i="1"/>
  <c r="O22" i="1"/>
  <c r="O17" i="1"/>
  <c r="O16" i="1"/>
  <c r="O15" i="1"/>
  <c r="O14" i="1"/>
  <c r="O13" i="1"/>
  <c r="O12" i="1"/>
  <c r="O11" i="1"/>
  <c r="N29" i="1"/>
  <c r="N28" i="1"/>
  <c r="N27" i="1"/>
  <c r="N26" i="1"/>
  <c r="N25" i="1"/>
  <c r="N24" i="1"/>
  <c r="N23" i="1"/>
  <c r="N22" i="1"/>
  <c r="N17" i="1"/>
  <c r="N16" i="1"/>
  <c r="N15" i="1"/>
  <c r="N14" i="1"/>
  <c r="N13" i="1"/>
  <c r="N12" i="1"/>
  <c r="N11" i="1"/>
  <c r="M29" i="1"/>
  <c r="M28" i="1"/>
  <c r="M27" i="1"/>
  <c r="M26" i="1"/>
  <c r="M25" i="1"/>
  <c r="M24" i="1"/>
  <c r="M23" i="1"/>
  <c r="M22" i="1"/>
  <c r="M17" i="1"/>
  <c r="M16" i="1"/>
  <c r="M15" i="1"/>
  <c r="M14" i="1"/>
  <c r="M13" i="1"/>
  <c r="M12" i="1"/>
  <c r="M11" i="1"/>
  <c r="L29" i="1"/>
  <c r="L28" i="1"/>
  <c r="L27" i="1"/>
  <c r="L26" i="1"/>
  <c r="L25" i="1"/>
  <c r="L24" i="1"/>
  <c r="L23" i="1"/>
  <c r="L22" i="1"/>
  <c r="L17" i="1"/>
  <c r="L16" i="1"/>
  <c r="L15" i="1"/>
  <c r="L14" i="1"/>
  <c r="L13" i="1"/>
  <c r="L12" i="1"/>
  <c r="L11" i="1"/>
  <c r="K29" i="1"/>
  <c r="K28" i="1"/>
  <c r="K27" i="1"/>
  <c r="K26" i="1"/>
  <c r="K25" i="1"/>
  <c r="K24" i="1"/>
  <c r="K23" i="1"/>
  <c r="K22" i="1"/>
  <c r="K17" i="1"/>
  <c r="K16" i="1"/>
  <c r="K15" i="1"/>
  <c r="K14" i="1"/>
  <c r="K13" i="1"/>
  <c r="K12" i="1"/>
  <c r="K11" i="1"/>
  <c r="J29" i="1"/>
  <c r="J28" i="1"/>
  <c r="J27" i="1"/>
  <c r="J26" i="1"/>
  <c r="J25" i="1"/>
  <c r="J24" i="1"/>
  <c r="J23" i="1"/>
  <c r="J22" i="1"/>
  <c r="J17" i="1"/>
  <c r="J16" i="1"/>
  <c r="J15" i="1"/>
  <c r="J14" i="1"/>
  <c r="J13" i="1"/>
  <c r="J12" i="1"/>
  <c r="J11" i="1"/>
  <c r="I29" i="1"/>
  <c r="I28" i="1"/>
  <c r="I27" i="1"/>
  <c r="I26" i="1"/>
  <c r="I25" i="1"/>
  <c r="I24" i="1"/>
  <c r="I23" i="1"/>
  <c r="I22" i="1"/>
  <c r="I17" i="1"/>
  <c r="I16" i="1"/>
  <c r="I15" i="1"/>
  <c r="I14" i="1"/>
  <c r="I13" i="1"/>
  <c r="I12" i="1"/>
  <c r="I11" i="1"/>
  <c r="H29" i="1"/>
  <c r="H28" i="1"/>
  <c r="H27" i="1"/>
  <c r="H26" i="1"/>
  <c r="H25" i="1"/>
  <c r="H24" i="1"/>
  <c r="H23" i="1"/>
  <c r="H22" i="1"/>
  <c r="H17" i="1"/>
  <c r="H16" i="1"/>
  <c r="H15" i="1"/>
  <c r="H14" i="1"/>
  <c r="H13" i="1"/>
  <c r="H12" i="1"/>
  <c r="G29" i="1"/>
  <c r="G28" i="1"/>
  <c r="G27" i="1"/>
  <c r="G26" i="1"/>
  <c r="G25" i="1"/>
  <c r="G24" i="1"/>
  <c r="G23" i="1"/>
  <c r="G22" i="1"/>
  <c r="G11" i="1"/>
  <c r="F29" i="1"/>
  <c r="F28" i="1"/>
  <c r="F27" i="1"/>
  <c r="F26" i="1"/>
  <c r="F25" i="1"/>
  <c r="F24" i="1"/>
  <c r="F23" i="1"/>
  <c r="F22" i="1"/>
  <c r="H11" i="1"/>
  <c r="G17" i="1"/>
  <c r="G16" i="1"/>
  <c r="G15" i="1"/>
  <c r="G14" i="1"/>
  <c r="G13" i="1"/>
  <c r="G12" i="1"/>
  <c r="F17" i="1"/>
  <c r="F16" i="1"/>
  <c r="F15" i="1"/>
  <c r="F14" i="1"/>
  <c r="F13" i="1"/>
  <c r="F12" i="1"/>
  <c r="F11" i="1"/>
  <c r="E29" i="1"/>
  <c r="E28" i="1"/>
  <c r="E27" i="1"/>
  <c r="E26" i="1"/>
  <c r="E23" i="1"/>
  <c r="E24" i="1"/>
  <c r="E25" i="1"/>
  <c r="E22" i="1"/>
  <c r="E17" i="1"/>
  <c r="E16" i="1"/>
  <c r="E15" i="1"/>
  <c r="E14" i="1"/>
  <c r="E13" i="1"/>
  <c r="E12" i="1"/>
  <c r="E11" i="1"/>
  <c r="F34" i="14"/>
  <c r="F33" i="14"/>
  <c r="F32" i="14"/>
  <c r="F31" i="14"/>
  <c r="F30" i="14"/>
  <c r="F29" i="14"/>
  <c r="F28" i="14"/>
  <c r="F27" i="14"/>
  <c r="F26" i="14"/>
  <c r="F25" i="14"/>
  <c r="F24" i="14"/>
  <c r="F23" i="14"/>
  <c r="O21" i="14"/>
  <c r="O20" i="14"/>
  <c r="O19" i="14"/>
  <c r="O18" i="14"/>
  <c r="O17" i="14"/>
  <c r="O16" i="14"/>
  <c r="O15" i="14"/>
  <c r="O14" i="14"/>
  <c r="R7" i="14" s="1"/>
  <c r="V12" i="14"/>
  <c r="U12" i="14"/>
  <c r="V11" i="14"/>
  <c r="U11" i="14"/>
  <c r="R8" i="14"/>
  <c r="U6" i="14"/>
  <c r="R6" i="14"/>
  <c r="J6" i="14"/>
  <c r="B6" i="14"/>
  <c r="N6" i="14" s="1"/>
  <c r="F34" i="13"/>
  <c r="F33" i="13"/>
  <c r="F32" i="13"/>
  <c r="F31" i="13"/>
  <c r="F30" i="13"/>
  <c r="F29" i="13"/>
  <c r="F28" i="13"/>
  <c r="F27" i="13"/>
  <c r="F26" i="13"/>
  <c r="F25" i="13"/>
  <c r="F24" i="13"/>
  <c r="F23" i="13"/>
  <c r="O21" i="13"/>
  <c r="O20" i="13"/>
  <c r="O19" i="13"/>
  <c r="R6" i="13" s="1"/>
  <c r="O18" i="13"/>
  <c r="O17" i="13"/>
  <c r="O16" i="13"/>
  <c r="O15" i="13"/>
  <c r="O14" i="13"/>
  <c r="R7" i="13" s="1"/>
  <c r="V12" i="13"/>
  <c r="U12" i="13"/>
  <c r="V11" i="13"/>
  <c r="U11" i="13"/>
  <c r="R8" i="13"/>
  <c r="U6" i="13"/>
  <c r="J6" i="13"/>
  <c r="B6" i="13"/>
  <c r="N6" i="13" s="1"/>
  <c r="F34" i="12"/>
  <c r="F33" i="12"/>
  <c r="F32" i="12"/>
  <c r="F31" i="12"/>
  <c r="F30" i="12"/>
  <c r="F29" i="12"/>
  <c r="F28" i="12"/>
  <c r="F27" i="12"/>
  <c r="F26" i="12"/>
  <c r="F25" i="12"/>
  <c r="F24" i="12"/>
  <c r="F23" i="12"/>
  <c r="O21" i="12"/>
  <c r="O20" i="12"/>
  <c r="O19" i="12"/>
  <c r="R6" i="12" s="1"/>
  <c r="O18" i="12"/>
  <c r="O17" i="12"/>
  <c r="O16" i="12"/>
  <c r="O15" i="12"/>
  <c r="O14" i="12"/>
  <c r="R7" i="12" s="1"/>
  <c r="V12" i="12"/>
  <c r="U12" i="12"/>
  <c r="V11" i="12"/>
  <c r="U11" i="12"/>
  <c r="R8" i="12"/>
  <c r="U6" i="12"/>
  <c r="J6" i="12"/>
  <c r="B6" i="12"/>
  <c r="N6" i="12" s="1"/>
  <c r="F34" i="11"/>
  <c r="F33" i="11"/>
  <c r="F32" i="11"/>
  <c r="F31" i="11"/>
  <c r="F30" i="11"/>
  <c r="F29" i="11"/>
  <c r="F28" i="11"/>
  <c r="F27" i="11"/>
  <c r="F26" i="11"/>
  <c r="F25" i="11"/>
  <c r="F24" i="11"/>
  <c r="F23" i="11"/>
  <c r="O21" i="11"/>
  <c r="O20" i="11"/>
  <c r="O19" i="11"/>
  <c r="O18" i="11"/>
  <c r="O17" i="11"/>
  <c r="O16" i="11"/>
  <c r="R7" i="11" s="1"/>
  <c r="O15" i="11"/>
  <c r="O14" i="11"/>
  <c r="V12" i="11"/>
  <c r="U12" i="11"/>
  <c r="V11" i="11"/>
  <c r="U11" i="11"/>
  <c r="R8" i="11"/>
  <c r="U6" i="11"/>
  <c r="R6" i="11"/>
  <c r="R9" i="11" s="1"/>
  <c r="H6" i="11" s="1"/>
  <c r="J6" i="11"/>
  <c r="B6" i="11"/>
  <c r="N6" i="11" s="1"/>
  <c r="F34" i="10"/>
  <c r="F33" i="10"/>
  <c r="F32" i="10"/>
  <c r="F31" i="10"/>
  <c r="F30" i="10"/>
  <c r="F29" i="10"/>
  <c r="F28" i="10"/>
  <c r="F27" i="10"/>
  <c r="F26" i="10"/>
  <c r="F25" i="10"/>
  <c r="F24" i="10"/>
  <c r="F23" i="10"/>
  <c r="O21" i="10"/>
  <c r="O20" i="10"/>
  <c r="O19" i="10"/>
  <c r="O18" i="10"/>
  <c r="O17" i="10"/>
  <c r="O16" i="10"/>
  <c r="O15" i="10"/>
  <c r="O14" i="10"/>
  <c r="R7" i="10" s="1"/>
  <c r="V12" i="10"/>
  <c r="U12" i="10"/>
  <c r="V11" i="10"/>
  <c r="U11" i="10"/>
  <c r="R8" i="10"/>
  <c r="U6" i="10"/>
  <c r="R6" i="10"/>
  <c r="J6" i="10"/>
  <c r="B6" i="10"/>
  <c r="N6" i="10" s="1"/>
  <c r="F34" i="9"/>
  <c r="F33" i="9"/>
  <c r="F32" i="9"/>
  <c r="F31" i="9"/>
  <c r="F30" i="9"/>
  <c r="F29" i="9"/>
  <c r="F28" i="9"/>
  <c r="F27" i="9"/>
  <c r="F26" i="9"/>
  <c r="F25" i="9"/>
  <c r="F24" i="9"/>
  <c r="F23" i="9"/>
  <c r="O21" i="9"/>
  <c r="O20" i="9"/>
  <c r="O19" i="9"/>
  <c r="R6" i="9" s="1"/>
  <c r="O18" i="9"/>
  <c r="O17" i="9"/>
  <c r="O16" i="9"/>
  <c r="O15" i="9"/>
  <c r="O14" i="9"/>
  <c r="R7" i="9" s="1"/>
  <c r="V12" i="9"/>
  <c r="U12" i="9"/>
  <c r="V11" i="9"/>
  <c r="U11" i="9"/>
  <c r="R8" i="9"/>
  <c r="U6" i="9"/>
  <c r="J6" i="9"/>
  <c r="B6" i="9"/>
  <c r="N6" i="9" s="1"/>
  <c r="F34" i="8"/>
  <c r="F33" i="8"/>
  <c r="F32" i="8"/>
  <c r="F31" i="8"/>
  <c r="F30" i="8"/>
  <c r="F29" i="8"/>
  <c r="F28" i="8"/>
  <c r="F27" i="8"/>
  <c r="F26" i="8"/>
  <c r="F25" i="8"/>
  <c r="F24" i="8"/>
  <c r="F23" i="8"/>
  <c r="O21" i="8"/>
  <c r="R6" i="8" s="1"/>
  <c r="O20" i="8"/>
  <c r="O19" i="8"/>
  <c r="O18" i="8"/>
  <c r="O17" i="8"/>
  <c r="O16" i="8"/>
  <c r="O15" i="8"/>
  <c r="O14" i="8"/>
  <c r="R7" i="8" s="1"/>
  <c r="V12" i="8"/>
  <c r="U12" i="8"/>
  <c r="V11" i="8"/>
  <c r="U11" i="8"/>
  <c r="R8" i="8"/>
  <c r="U6" i="8"/>
  <c r="J6" i="8"/>
  <c r="B6" i="8"/>
  <c r="N6" i="8" s="1"/>
  <c r="F34" i="7"/>
  <c r="F33" i="7"/>
  <c r="F32" i="7"/>
  <c r="F31" i="7"/>
  <c r="F30" i="7"/>
  <c r="F29" i="7"/>
  <c r="F28" i="7"/>
  <c r="F27" i="7"/>
  <c r="F26" i="7"/>
  <c r="F25" i="7"/>
  <c r="F24" i="7"/>
  <c r="F23" i="7"/>
  <c r="O21" i="7"/>
  <c r="O20" i="7"/>
  <c r="O19" i="7"/>
  <c r="O18" i="7"/>
  <c r="O17" i="7"/>
  <c r="O16" i="7"/>
  <c r="O15" i="7"/>
  <c r="O14" i="7"/>
  <c r="R7" i="7" s="1"/>
  <c r="V12" i="7"/>
  <c r="U12" i="7"/>
  <c r="V11" i="7"/>
  <c r="U11" i="7"/>
  <c r="R8" i="7"/>
  <c r="N8" i="7"/>
  <c r="U6" i="7"/>
  <c r="R6" i="7"/>
  <c r="R9" i="7" s="1"/>
  <c r="H6" i="7" s="1"/>
  <c r="J6" i="7"/>
  <c r="B6" i="7"/>
  <c r="N6" i="7" s="1"/>
  <c r="F34" i="6"/>
  <c r="F33" i="6"/>
  <c r="F32" i="6"/>
  <c r="F31" i="6"/>
  <c r="F30" i="6"/>
  <c r="F29" i="6"/>
  <c r="F28" i="6"/>
  <c r="F27" i="6"/>
  <c r="F26" i="6"/>
  <c r="F25" i="6"/>
  <c r="F24" i="6"/>
  <c r="F23" i="6"/>
  <c r="O21" i="6"/>
  <c r="O20" i="6"/>
  <c r="O19" i="6"/>
  <c r="O18" i="6"/>
  <c r="O17" i="6"/>
  <c r="R6" i="6" s="1"/>
  <c r="O16" i="6"/>
  <c r="O15" i="6"/>
  <c r="O14" i="6"/>
  <c r="R7" i="6" s="1"/>
  <c r="V12" i="6"/>
  <c r="U12" i="6"/>
  <c r="V11" i="6"/>
  <c r="U11" i="6"/>
  <c r="R8" i="6"/>
  <c r="N8" i="6"/>
  <c r="U6" i="6"/>
  <c r="N6" i="6"/>
  <c r="J6" i="6"/>
  <c r="B6" i="6"/>
  <c r="N7" i="6" s="1"/>
  <c r="F34" i="5"/>
  <c r="F33" i="5"/>
  <c r="F32" i="5"/>
  <c r="F31" i="5"/>
  <c r="F30" i="5"/>
  <c r="F29" i="5"/>
  <c r="F28" i="5"/>
  <c r="F27" i="5"/>
  <c r="F26" i="5"/>
  <c r="F25" i="5"/>
  <c r="F24" i="5"/>
  <c r="F23" i="5"/>
  <c r="O21" i="5"/>
  <c r="O20" i="5"/>
  <c r="R7" i="5" s="1"/>
  <c r="O19" i="5"/>
  <c r="O18" i="5"/>
  <c r="O17" i="5"/>
  <c r="O16" i="5"/>
  <c r="O15" i="5"/>
  <c r="O14" i="5"/>
  <c r="V12" i="5"/>
  <c r="U12" i="5"/>
  <c r="V11" i="5"/>
  <c r="U11" i="5"/>
  <c r="R8" i="5"/>
  <c r="U6" i="5"/>
  <c r="R6" i="5"/>
  <c r="J6" i="5"/>
  <c r="B6" i="5"/>
  <c r="N6" i="5" s="1"/>
  <c r="F34" i="4"/>
  <c r="F33" i="4"/>
  <c r="F32" i="4"/>
  <c r="F31" i="4"/>
  <c r="F30" i="4"/>
  <c r="F29" i="4"/>
  <c r="F28" i="4"/>
  <c r="F27" i="4"/>
  <c r="F26" i="4"/>
  <c r="F25" i="4"/>
  <c r="F24" i="4"/>
  <c r="F23" i="4"/>
  <c r="O21" i="4"/>
  <c r="R6" i="4" s="1"/>
  <c r="O20" i="4"/>
  <c r="R7" i="4" s="1"/>
  <c r="O19" i="4"/>
  <c r="O18" i="4"/>
  <c r="O17" i="4"/>
  <c r="O16" i="4"/>
  <c r="O15" i="4"/>
  <c r="O14" i="4"/>
  <c r="V12" i="4"/>
  <c r="U12" i="4"/>
  <c r="V11" i="4"/>
  <c r="U11" i="4"/>
  <c r="R8" i="4"/>
  <c r="U6" i="4"/>
  <c r="J6" i="4"/>
  <c r="B6" i="4"/>
  <c r="N6" i="4" s="1"/>
  <c r="F34" i="3"/>
  <c r="F33" i="3"/>
  <c r="F32" i="3"/>
  <c r="F31" i="3"/>
  <c r="F30" i="3"/>
  <c r="F29" i="3"/>
  <c r="F28" i="3"/>
  <c r="F27" i="3"/>
  <c r="F26" i="3"/>
  <c r="F25" i="3"/>
  <c r="F24" i="3"/>
  <c r="F23" i="3"/>
  <c r="O21" i="3"/>
  <c r="O20" i="3"/>
  <c r="O19" i="3"/>
  <c r="O18" i="3"/>
  <c r="O17" i="3"/>
  <c r="R6" i="3" s="1"/>
  <c r="O16" i="3"/>
  <c r="O15" i="3"/>
  <c r="O14" i="3"/>
  <c r="R7" i="3" s="1"/>
  <c r="V12" i="3"/>
  <c r="U12" i="3"/>
  <c r="V11" i="3"/>
  <c r="U11" i="3"/>
  <c r="R8" i="3"/>
  <c r="U6" i="3"/>
  <c r="J6" i="3"/>
  <c r="B6" i="3"/>
  <c r="N8" i="3" s="1"/>
  <c r="F34" i="2"/>
  <c r="F33" i="2"/>
  <c r="F32" i="2"/>
  <c r="F31" i="2"/>
  <c r="F30" i="2"/>
  <c r="F29" i="2"/>
  <c r="F28" i="2"/>
  <c r="F27" i="2"/>
  <c r="F26" i="2"/>
  <c r="F25" i="2"/>
  <c r="F24" i="2"/>
  <c r="F23" i="2"/>
  <c r="O21" i="2"/>
  <c r="O20" i="2"/>
  <c r="O19" i="2"/>
  <c r="O18" i="2"/>
  <c r="R7" i="2" s="1"/>
  <c r="O17" i="2"/>
  <c r="R6" i="2" s="1"/>
  <c r="O16" i="2"/>
  <c r="O15" i="2"/>
  <c r="O14" i="2"/>
  <c r="V12" i="2"/>
  <c r="U12" i="2"/>
  <c r="V11" i="2"/>
  <c r="U11" i="2"/>
  <c r="R8" i="2"/>
  <c r="U6" i="2"/>
  <c r="J6" i="2"/>
  <c r="B6" i="2"/>
  <c r="N6" i="2" s="1"/>
  <c r="Q28" i="1" l="1"/>
  <c r="Q29" i="1"/>
  <c r="R22" i="1"/>
  <c r="R24" i="1"/>
  <c r="R26" i="1"/>
  <c r="Q27" i="1"/>
  <c r="L7" i="1"/>
  <c r="R25" i="1"/>
  <c r="Q26" i="1"/>
  <c r="R27" i="1"/>
  <c r="Q24" i="1"/>
  <c r="R23" i="1"/>
  <c r="R28" i="1"/>
  <c r="Q25" i="1"/>
  <c r="R29" i="1"/>
  <c r="I7" i="1"/>
  <c r="F7" i="1"/>
  <c r="C7" i="1"/>
  <c r="R9" i="14"/>
  <c r="H6" i="14" s="1"/>
  <c r="V6" i="14"/>
  <c r="D6" i="14"/>
  <c r="N7" i="14"/>
  <c r="F6" i="14"/>
  <c r="N8" i="14"/>
  <c r="R9" i="13"/>
  <c r="H6" i="13" s="1"/>
  <c r="D6" i="13"/>
  <c r="V6" i="13"/>
  <c r="N7" i="13"/>
  <c r="F6" i="13"/>
  <c r="N8" i="13"/>
  <c r="R9" i="12"/>
  <c r="H6" i="12" s="1"/>
  <c r="D6" i="12"/>
  <c r="V6" i="12"/>
  <c r="N8" i="12"/>
  <c r="N7" i="12"/>
  <c r="F6" i="12"/>
  <c r="D6" i="11"/>
  <c r="N7" i="11"/>
  <c r="V6" i="11"/>
  <c r="F6" i="11"/>
  <c r="N8" i="11"/>
  <c r="R9" i="10"/>
  <c r="H6" i="10" s="1"/>
  <c r="D6" i="10"/>
  <c r="N7" i="10"/>
  <c r="F6" i="10"/>
  <c r="N8" i="10"/>
  <c r="V6" i="10"/>
  <c r="R9" i="9"/>
  <c r="H6" i="9" s="1"/>
  <c r="D6" i="9"/>
  <c r="V6" i="9"/>
  <c r="N8" i="9"/>
  <c r="N7" i="9"/>
  <c r="F6" i="9"/>
  <c r="R9" i="8"/>
  <c r="H6" i="8" s="1"/>
  <c r="V6" i="8"/>
  <c r="D6" i="8"/>
  <c r="N7" i="8"/>
  <c r="N8" i="8"/>
  <c r="F6" i="8"/>
  <c r="V6" i="7"/>
  <c r="D6" i="7"/>
  <c r="F6" i="7" s="1"/>
  <c r="N7" i="7"/>
  <c r="D6" i="6"/>
  <c r="F6" i="6" s="1"/>
  <c r="R9" i="6"/>
  <c r="H6" i="6" s="1"/>
  <c r="V6" i="6"/>
  <c r="R9" i="5"/>
  <c r="H6" i="5" s="1"/>
  <c r="N7" i="5"/>
  <c r="V6" i="5"/>
  <c r="D6" i="5"/>
  <c r="F6" i="5"/>
  <c r="N8" i="5"/>
  <c r="R9" i="4"/>
  <c r="H6" i="4" s="1"/>
  <c r="V6" i="4"/>
  <c r="D6" i="4"/>
  <c r="N7" i="4"/>
  <c r="N8" i="4"/>
  <c r="F6" i="4"/>
  <c r="V6" i="3"/>
  <c r="R9" i="3"/>
  <c r="H6" i="3" s="1"/>
  <c r="D6" i="3"/>
  <c r="F6" i="3"/>
  <c r="N6" i="3"/>
  <c r="N7" i="3"/>
  <c r="R9" i="2"/>
  <c r="H6" i="2" s="1"/>
  <c r="D6" i="2"/>
  <c r="V6" i="2"/>
  <c r="N7" i="2"/>
  <c r="F6" i="2"/>
  <c r="N8" i="2"/>
  <c r="Q23" i="1"/>
  <c r="Q22" i="1"/>
</calcChain>
</file>

<file path=xl/sharedStrings.xml><?xml version="1.0" encoding="utf-8"?>
<sst xmlns="http://schemas.openxmlformats.org/spreadsheetml/2006/main" count="934" uniqueCount="76">
  <si>
    <t>Yearly Budget Dashboard</t>
  </si>
  <si>
    <t>Total Income (YTD)</t>
  </si>
  <si>
    <t>Total Spent (YTD)</t>
  </si>
  <si>
    <t>Avg Savings Rate</t>
  </si>
  <si>
    <t>Net Position (YTD)</t>
  </si>
  <si>
    <t>Monthly Summary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</si>
  <si>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</si>
  <si>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</si>
  <si>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</si>
  <si>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</si>
  <si>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</si>
  <si>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</si>
  <si>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</si>
  <si>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</si>
  <si>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</si>
  <si>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</si>
  <si>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Income</t>
  </si>
  <si>
    <t>Needs Actual</t>
  </si>
  <si>
    <t>Wants Actual</t>
  </si>
  <si>
    <t>Savings Actual</t>
  </si>
  <si>
    <t>Total Expenses</t>
  </si>
  <si>
    <t>Cash Variance</t>
  </si>
  <si>
    <t>Savings Rate %</t>
  </si>
  <si>
    <t>(Keep Cells Absolute)</t>
  </si>
  <si>
    <t>Spending by Category</t>
  </si>
  <si>
    <t>Category</t>
  </si>
  <si>
    <t>Jan</t>
  </si>
  <si>
    <t>Feb</t>
  </si>
  <si>
    <t>Avg/Active Mo.</t>
  </si>
  <si>
    <t>YTD Total</t>
  </si>
  <si>
    <t>Subscriptions</t>
  </si>
  <si>
    <t>Gas</t>
  </si>
  <si>
    <t>Other</t>
  </si>
  <si>
    <t>Groceries</t>
  </si>
  <si>
    <t>Dining out</t>
  </si>
  <si>
    <t>Rent</t>
  </si>
  <si>
    <t>Shopping</t>
  </si>
  <si>
    <t>Credit Card</t>
  </si>
  <si>
    <t>MONTHLY BUDGET TEMPLATE</t>
  </si>
  <si>
    <t>Total Spent</t>
  </si>
  <si>
    <t>Leftover</t>
  </si>
  <si>
    <t>Savings Rate</t>
  </si>
  <si>
    <t>Bills Paid</t>
  </si>
  <si>
    <t>Budget Split</t>
  </si>
  <si>
    <t>50/30/20</t>
  </si>
  <si>
    <t>Spending Breakdown</t>
  </si>
  <si>
    <t>Budgeted</t>
  </si>
  <si>
    <t>Actual</t>
  </si>
  <si>
    <t>Needs Target</t>
  </si>
  <si>
    <t>70/20/10</t>
  </si>
  <si>
    <t>Needs</t>
  </si>
  <si>
    <t>Wants Target</t>
  </si>
  <si>
    <t>Wants</t>
  </si>
  <si>
    <t>(Follow the numbers below for easy of use)</t>
  </si>
  <si>
    <t>Savings Target</t>
  </si>
  <si>
    <t>Savings</t>
  </si>
  <si>
    <t>1. Income</t>
  </si>
  <si>
    <t>2. Savings &amp; Investments</t>
  </si>
  <si>
    <t>4. Transactions Log</t>
  </si>
  <si>
    <t>Category Totals</t>
  </si>
  <si>
    <t>Source</t>
  </si>
  <si>
    <t>Amount</t>
  </si>
  <si>
    <t>Account</t>
  </si>
  <si>
    <t>Date</t>
  </si>
  <si>
    <t>Notes</t>
  </si>
  <si>
    <t>Total</t>
  </si>
  <si>
    <t>want</t>
  </si>
  <si>
    <t>need</t>
  </si>
  <si>
    <t>3. Recurring Bills</t>
  </si>
  <si>
    <t>Need</t>
  </si>
  <si>
    <t>Bill Name</t>
  </si>
  <si>
    <t>Paid?</t>
  </si>
  <si>
    <t>Types of Saving/Investments</t>
  </si>
  <si>
    <t>401K</t>
  </si>
  <si>
    <t>Roth-IRA</t>
  </si>
  <si>
    <t>Brokerage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</si>
</sst>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_(\$* #,##0.00_);_(\$* \(#,##0.00\);_(\$* \-??_);_(@_)"/>
    <numFmt numFmtId="166" formatCode="0.0%"/>
    <numFmt numFmtId="167" formatCode="mm/dd/yyyy"/>
    <numFmt numFmtId="168" formatCode="&quot;$&quot;#,##0.00"/>
  </numFmts>
  <fonts count="25" x14ac:knownFonts="1">
    <font>
      <sz val="12"/>
      <color theme="1"/>
      <name val="Aptos Narrow"/>
    </font>
    <font>
      <sz val="12"/>
      <color theme="1"/>
      <name val="Aptos Narrow"/>
    </font>
    <font>
      <sz val="11"/>
      <name val="Cambria"/>
      <family val="1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4"/>
      <color rgb="FF1F3864"/>
      <name val="Calibri"/>
      <family val="2"/>
    </font>
    <font>
      <b/>
      <sz val="16"/>
      <color rgb="FF1F3864"/>
      <name val="Calibri"/>
      <family val="2"/>
    </font>
    <font>
      <b/>
      <sz val="12"/>
      <name val="Calibri"/>
      <family val="2"/>
    </font>
    <font>
      <sz val="14"/>
      <color rgb="FF1E7D32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i/>
      <sz val="14"/>
      <name val="Calibri"/>
      <family val="2"/>
    </font>
    <font>
      <b/>
      <sz val="14"/>
      <name val="Calibri"/>
      <family val="2"/>
    </font>
    <font>
      <b/>
      <sz val="22"/>
      <color rgb="FFFFFFFF"/>
      <name val="Calibri"/>
      <family val="2"/>
    </font>
    <font>
      <b/>
      <sz val="12"/>
      <color theme="3"/>
      <name val="Aptos Narrow"/>
    </font>
    <font>
      <u/>
      <sz val="12"/>
      <color theme="1"/>
      <name val="Aptos Narrow"/>
    </font>
    <font>
      <sz val="12"/>
      <color theme="0"/>
      <name val="Aptos Narrow"/>
    </font>
    <font>
      <b/>
      <sz val="15"/>
      <color rgb="FF1F3864"/>
      <name val="Calibri"/>
      <family val="2"/>
    </font>
    <font>
      <sz val="9"/>
      <color rgb="FF1E7D32"/>
      <name val="Calibri"/>
      <family val="2"/>
    </font>
    <font>
      <b/>
      <sz val="14"/>
      <color theme="3"/>
      <name val="Aptos Narrow"/>
    </font>
    <font>
      <sz val="9"/>
      <color rgb="FF000000"/>
      <name val="Calibri"/>
      <family val="2"/>
    </font>
    <font>
      <sz val="14"/>
      <color theme="1"/>
      <name val="Aptos Narrow"/>
    </font>
    <font>
      <b/>
      <sz val="13"/>
      <color rgb="FFFFFFFF"/>
      <name val="Calibri"/>
      <family val="2"/>
    </font>
    <font>
      <b/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D6B"/>
        <bgColor rgb="FF1E7D32"/>
      </patternFill>
    </fill>
    <fill>
      <patternFill patternType="solid">
        <fgColor rgb="FFEAF2F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9A227"/>
        <bgColor rgb="FFEEA18B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B0B0B0"/>
      </bottom>
      <diagonal/>
    </border>
    <border>
      <left style="thin">
        <color rgb="FFB0B0B0"/>
      </left>
      <right style="medium">
        <color indexed="64"/>
      </right>
      <top/>
      <bottom style="thin">
        <color rgb="FFB0B0B0"/>
      </bottom>
      <diagonal/>
    </border>
    <border>
      <left style="medium">
        <color indexed="64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rgb="FFB0B0B0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5" fontId="2" fillId="0" borderId="0" xfId="0" applyNumberFormat="1" applyFont="1"/>
    <xf numFmtId="164" fontId="7" fillId="4" borderId="1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8" fillId="4" borderId="8" xfId="0" applyFont="1" applyFill="1" applyBorder="1"/>
    <xf numFmtId="0" fontId="8" fillId="4" borderId="9" xfId="0" applyFont="1" applyFill="1" applyBorder="1"/>
    <xf numFmtId="0" fontId="8" fillId="4" borderId="10" xfId="0" applyFont="1" applyFill="1" applyBorder="1"/>
    <xf numFmtId="0" fontId="8" fillId="4" borderId="11" xfId="0" applyFont="1" applyFill="1" applyBorder="1"/>
    <xf numFmtId="0" fontId="8" fillId="4" borderId="12" xfId="0" applyFont="1" applyFill="1" applyBorder="1"/>
    <xf numFmtId="0" fontId="8" fillId="4" borderId="13" xfId="0" applyFont="1" applyFill="1" applyBorder="1"/>
    <xf numFmtId="166" fontId="9" fillId="0" borderId="3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0" fontId="17" fillId="0" borderId="0" xfId="0" applyFont="1"/>
    <xf numFmtId="0" fontId="11" fillId="7" borderId="1" xfId="0" applyFont="1" applyFill="1" applyBorder="1" applyAlignment="1">
      <alignment horizontal="center" vertical="center"/>
    </xf>
    <xf numFmtId="164" fontId="18" fillId="4" borderId="6" xfId="0" applyNumberFormat="1" applyFont="1" applyFill="1" applyBorder="1" applyAlignment="1">
      <alignment horizontal="center" vertical="center"/>
    </xf>
    <xf numFmtId="164" fontId="18" fillId="4" borderId="29" xfId="0" applyNumberFormat="1" applyFont="1" applyFill="1" applyBorder="1" applyAlignment="1">
      <alignment horizontal="center" vertical="center"/>
    </xf>
    <xf numFmtId="166" fontId="18" fillId="4" borderId="29" xfId="0" applyNumberFormat="1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164" fontId="0" fillId="0" borderId="19" xfId="0" applyNumberFormat="1" applyBorder="1"/>
    <xf numFmtId="0" fontId="8" fillId="4" borderId="1" xfId="0" applyFont="1" applyFill="1" applyBorder="1" applyAlignment="1">
      <alignment horizontal="center" vertical="center"/>
    </xf>
    <xf numFmtId="164" fontId="19" fillId="4" borderId="1" xfId="0" applyNumberFormat="1" applyFont="1" applyFill="1" applyBorder="1"/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7" xfId="0" applyNumberFormat="1" applyBorder="1"/>
    <xf numFmtId="0" fontId="8" fillId="4" borderId="30" xfId="0" applyFont="1" applyFill="1" applyBorder="1" applyAlignment="1">
      <alignment horizontal="center" vertical="center"/>
    </xf>
    <xf numFmtId="164" fontId="19" fillId="4" borderId="30" xfId="0" applyNumberFormat="1" applyFont="1" applyFill="1" applyBorder="1"/>
    <xf numFmtId="0" fontId="0" fillId="0" borderId="31" xfId="0" applyBorder="1"/>
    <xf numFmtId="0" fontId="8" fillId="4" borderId="32" xfId="0" applyFont="1" applyFill="1" applyBorder="1" applyAlignment="1">
      <alignment horizontal="center" vertical="center"/>
    </xf>
    <xf numFmtId="164" fontId="21" fillId="4" borderId="32" xfId="0" applyNumberFormat="1" applyFont="1" applyFill="1" applyBorder="1"/>
    <xf numFmtId="0" fontId="0" fillId="0" borderId="33" xfId="0" applyBorder="1"/>
    <xf numFmtId="164" fontId="0" fillId="0" borderId="31" xfId="0" applyNumberForma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2" fillId="0" borderId="0" xfId="0" applyFont="1"/>
    <xf numFmtId="0" fontId="4" fillId="2" borderId="3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 applyAlignment="1">
      <alignment horizontal="right"/>
    </xf>
    <xf numFmtId="0" fontId="8" fillId="0" borderId="35" xfId="0" applyFont="1" applyBorder="1" applyAlignment="1">
      <alignment horizontal="center"/>
    </xf>
    <xf numFmtId="164" fontId="19" fillId="0" borderId="35" xfId="0" applyNumberFormat="1" applyFont="1" applyBorder="1"/>
    <xf numFmtId="0" fontId="1" fillId="0" borderId="0" xfId="0" applyFont="1"/>
    <xf numFmtId="168" fontId="0" fillId="0" borderId="1" xfId="0" applyNumberFormat="1" applyBorder="1"/>
    <xf numFmtId="0" fontId="23" fillId="2" borderId="2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right" vertical="center"/>
    </xf>
    <xf numFmtId="0" fontId="1" fillId="0" borderId="1" xfId="0" applyFont="1" applyBorder="1"/>
  </cellXfs>
  <cellStyles count="1">
    <cellStyle name="Normal" xfId="0" builtinId="0"/>
  </cellStyles>
  <dxfs count="162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'Monthly Spending Template'!$X$6:$X$8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'Monthly Spending Template'!$N$6:$N$8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E-B548-9D41-ABC68D87B37B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'Monthly Spending Template'!$X$6:$X$8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'Monthly Spending Template'!$R$6:$R$8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E-B548-9D41-ABC68D87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Income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Income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Overview'!$E$11:$P$11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42-8542-8770-B03E8578565E}"/>
            </c:ext>
          </c:extLst>
        </c:ser>
        <c:ser>
          <c:idx val="1"/>
          <c:order val="1"/>
          <c:tx>
            <c:v>Total Expenses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Overview'!$E$15:$P$15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42-8542-8770-B03E8578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81916"/>
        <c:axId val="40099166"/>
      </c:lineChart>
      <c:catAx>
        <c:axId val="25081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40099166"/>
        <c:crosses val="autoZero"/>
        <c:auto val="1"/>
        <c:lblAlgn val="ctr"/>
        <c:lblOffset val="100"/>
        <c:noMultiLvlLbl val="0"/>
      </c:catAx>
      <c:valAx>
        <c:axId val="40099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25081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Needs / Wants / Savings — Actual Spend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Needs Actual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Overview'!$E$12:$P$12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8-CA46-A862-868477A16780}"/>
            </c:ext>
          </c:extLst>
        </c:ser>
        <c:ser>
          <c:idx val="1"/>
          <c:order val="1"/>
          <c:tx>
            <c:v>Wants 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Overview'!$E$13:$P$13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8-CA46-A862-868477A16780}"/>
            </c:ext>
          </c:extLst>
        </c:ser>
        <c:ser>
          <c:idx val="2"/>
          <c:order val="2"/>
          <c:tx>
            <c:v>Savings Actual</c:v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Overview'!$E$14:$P$14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8-CA46-A862-868477A16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70192"/>
        <c:axId val="3358256"/>
      </c:barChart>
      <c:catAx>
        <c:axId val="309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358256"/>
        <c:crosses val="autoZero"/>
        <c:auto val="1"/>
        <c:lblAlgn val="ctr"/>
        <c:lblOffset val="100"/>
        <c:noMultiLvlLbl val="0"/>
      </c:catAx>
      <c:valAx>
        <c:axId val="3358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0970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Spending by Category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solidFill>
                <a:srgbClr val="000000">
                  <a:lumMod val="65000"/>
                  <a:lumOff val="35000"/>
                </a:srgbClr>
              </a:solidFill>
            </a:ln>
          </c:spPr>
          <c:dPt>
            <c:idx val="0"/>
            <c:bubble3D val="0"/>
            <c:spPr>
              <a:solidFill>
                <a:srgbClr val="125573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E01-344E-9B89-77A75035B743}"/>
              </c:ext>
            </c:extLst>
          </c:dPt>
          <c:dPt>
            <c:idx val="1"/>
            <c:bubble3D val="0"/>
            <c:spPr>
              <a:solidFill>
                <a:srgbClr val="CF642C"/>
              </a:solidFill>
              <a:ln w="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E01-344E-9B89-77A75035B743}"/>
              </c:ext>
            </c:extLst>
          </c:dPt>
          <c:dPt>
            <c:idx val="2"/>
            <c:bubble3D val="0"/>
            <c:spPr>
              <a:solidFill>
                <a:srgbClr val="165F20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E01-344E-9B89-77A75035B743}"/>
              </c:ext>
            </c:extLst>
          </c:dPt>
          <c:dPt>
            <c:idx val="3"/>
            <c:bubble3D val="0"/>
            <c:spPr>
              <a:solidFill>
                <a:srgbClr val="0D8CBD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E01-344E-9B89-77A75035B743}"/>
              </c:ext>
            </c:extLst>
          </c:dPt>
          <c:dPt>
            <c:idx val="4"/>
            <c:bubble3D val="0"/>
            <c:spPr>
              <a:solidFill>
                <a:srgbClr val="8E2682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E01-344E-9B89-77A75035B743}"/>
              </c:ext>
            </c:extLst>
          </c:dPt>
          <c:dPt>
            <c:idx val="5"/>
            <c:bubble3D val="0"/>
            <c:spPr>
              <a:solidFill>
                <a:srgbClr val="459428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E01-344E-9B89-77A75035B743}"/>
              </c:ext>
            </c:extLst>
          </c:dPt>
          <c:dPt>
            <c:idx val="6"/>
            <c:bubble3D val="0"/>
            <c:spPr>
              <a:solidFill>
                <a:srgbClr val="889AAA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E01-344E-9B89-77A75035B743}"/>
              </c:ext>
            </c:extLst>
          </c:dPt>
          <c:dPt>
            <c:idx val="7"/>
            <c:bubble3D val="0"/>
            <c:spPr>
              <a:solidFill>
                <a:srgbClr val="EEA18B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E01-344E-9B89-77A75035B743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aseline="0"/>
                      <a:t> </a:t>
                    </a:r>
                    <a:fld id="{3D0C1EB8-0A98-DE46-B080-DCD9C3520EAC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D43DBB74-A715-2E47-A84E-AA0562B0408E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E01-344E-9B89-77A75035B743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0415BF7C-867D-B94C-93B2-2B297F825CE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B175621C-3E4D-FD40-9BB5-6EC83F49B8F3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E01-344E-9B89-77A75035B743}"/>
                </c:ext>
              </c:extLst>
            </c:dLbl>
            <c:dLbl>
              <c:idx val="2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D3098DA1-1E23-2D41-95B3-7D2EC55742A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5F6964E5-E27D-6547-B348-382D039A1BBB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E01-344E-9B89-77A75035B743}"/>
                </c:ext>
              </c:extLst>
            </c:dLbl>
            <c:dLbl>
              <c:idx val="3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F2FEA525-5D21-ED40-A921-F721595DAA81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254E0EB1-263B-C943-9120-52B0B485DCA1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E01-344E-9B89-77A75035B743}"/>
                </c:ext>
              </c:extLst>
            </c:dLbl>
            <c:dLbl>
              <c:idx val="4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299F9E88-BD5C-B443-9472-D9EBF108840F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4FC229C8-863F-C447-8918-7F19555D5032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E01-344E-9B89-77A75035B743}"/>
                </c:ext>
              </c:extLst>
            </c:dLbl>
            <c:dLbl>
              <c:idx val="5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3BE3573C-D102-2E4C-8A26-FC691EE73FDB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337763CC-E599-5F4C-82C8-7569B0A7F119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E01-344E-9B89-77A75035B743}"/>
                </c:ext>
              </c:extLst>
            </c:dLbl>
            <c:dLbl>
              <c:idx val="6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AE132ABE-A7EA-0945-9B3F-7BD7092F29B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740E3D63-0AF4-CF4D-B21C-B93154EF11D0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3E01-344E-9B89-77A75035B743}"/>
                </c:ext>
              </c:extLst>
            </c:dLbl>
            <c:dLbl>
              <c:idx val="7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7C81F4E1-BEEC-3647-A17C-31A17542D078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E7FF8FBF-1E94-FD42-8455-305A0221298B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E01-344E-9B89-77A75035B743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'Yearly Overview'!$C$22:$C$29</c:f>
              <c:strCache>
                <c:ptCount val="8"/>
                <c:pt idx="0">
                  <c:v>Subscriptions</c:v>
                </c:pt>
                <c:pt idx="1">
                  <c:v>Gas</c:v>
                </c:pt>
                <c:pt idx="2">
                  <c:v>Other</c:v>
                </c:pt>
                <c:pt idx="3">
                  <c:v>Groceries</c:v>
                </c:pt>
                <c:pt idx="4">
                  <c:v>Dining out</c:v>
                </c:pt>
                <c:pt idx="5">
                  <c:v>Rent</c:v>
                </c:pt>
                <c:pt idx="6">
                  <c:v>Shopping</c:v>
                </c:pt>
                <c:pt idx="7">
                  <c:v>Credit Card</c:v>
                </c:pt>
              </c:strCache>
            </c:strRef>
          </c:cat>
          <c:val>
            <c:numRef>
              <c:f>'Yearly Overview'!$R$22:$R$29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01-344E-9B89-77A75035B7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solidFill>
            <a:schemeClr val="tx1"/>
          </a:solidFill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Jan!$X$6:$X$8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Jan!$N$6:$N$8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0-D343-9E87-9FF0FA83347B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Jan!$X$6:$X$8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Jan!$R$6:$R$8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0-D343-9E87-9FF0FA83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Feb!$X$6:$X$8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Feb!$N$6:$N$8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6-9D4F-AF00-2CE5DDAC3CCF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Feb!$X$6:$X$8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Feb!$R$6:$R$8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6-9D4F-AF00-2CE5DDAC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Mar!$X$6:$X$8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Mar!$N$6:$N$8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8-554F-BE27-58076034FBAD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Mar!$X$6:$X$8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Mar!$R$6:$R$8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8-554F-BE27-58076034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Apr!$X$6:$X$8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Apr!$N$6:$N$8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4-0E43-808D-5140B30785D0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Apr!$X$6:$X$8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Apr!$R$6:$R$8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4-0E43-808D-5140B3078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May!$X$6:$X$8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May!$N$6:$N$8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6-B448-8829-663BE02B5F65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May!$X$6:$X$8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May!$R$6:$R$8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6-B448-8829-663BE02B5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Jun!$X$6:$X$8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Jun!$N$6:$N$8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6-7B4B-8B4D-FEE1291B0CA7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Jun!$X$6:$X$8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Jun!$R$6:$R$8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6-7B4B-8B4D-FEE1291B0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Jul!$X$6:$X$8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Jul!$N$6:$N$8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0-114C-A33A-E991FC42ECBE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Jul!$X$6:$X$8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Jul!$R$6:$R$8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0-114C-A33A-E991FC42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Aug!$X$6:$X$8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Aug!$N$6:$N$8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4-2D4C-A042-DFD240ECE005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Aug!$X$6:$X$8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Aug!$R$6:$R$8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4-2D4C-A042-DFD240EC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Sept!$X$6:$X$8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Sept!$N$6:$N$8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2-6C48-AF57-F7A4A0D419E8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Sept!$X$6:$X$8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Sept!$R$6:$R$8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2-6C48-AF57-F7A4A0D4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Oct!$X$6:$X$8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Oct!$N$6:$N$8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D-D24D-A420-36AE6D24D528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Oct!$X$6:$X$8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Oct!$R$6:$R$8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D-D24D-A420-36AE6D24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Nov!$X$6:$X$8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Nov!$N$6:$N$8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F-2C44-A1F1-2278C569B026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Nov!$X$6:$X$8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Nov!$R$6:$R$8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F-2C44-A1F1-2278C569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Dec!$X$6:$X$8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Dec!$N$6:$N$8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7-354B-B964-90FEBB91AC73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Dec!$X$6:$X$8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Dec!$R$6:$R$8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7-354B-B964-90FEBB91A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B7B9F-4CE4-0E4C-86B2-0666DA76E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596900</xdr:colOff>
      <xdr:row>31</xdr:row>
      <xdr:rowOff>114300</xdr:rowOff>
    </xdr:from>
    <xdr:to>
      <xdr:col>20</xdr:col>
      <xdr:colOff>509460</xdr:colOff>
      <xdr:row>46</xdr:row>
      <xdr:rowOff>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27A93-665D-C046-84BA-5A91FF873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508000</xdr:colOff>
      <xdr:row>31</xdr:row>
      <xdr:rowOff>127000</xdr:rowOff>
    </xdr:from>
    <xdr:to>
      <xdr:col>15</xdr:col>
      <xdr:colOff>381000</xdr:colOff>
      <xdr:row>45</xdr:row>
      <xdr:rowOff>79200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B2A8A-C196-C34C-A9F6-28646988E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76200</xdr:colOff>
      <xdr:row>31</xdr:row>
      <xdr:rowOff>127000</xdr:rowOff>
    </xdr:from>
    <xdr:to>
      <xdr:col>10</xdr:col>
      <xdr:colOff>292100</xdr:colOff>
      <xdr:row>49</xdr:row>
      <xdr:rowOff>122880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9B17B1-99A7-5245-A5FD-7C956A000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A2E02-2B6D-3040-9FBC-23A6ADC53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76046-5122-A94D-8DAA-9F0AB3A1A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DE4B4-36F7-F143-97FC-63D3E890E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352B2-8E93-CB40-8E7C-0D2A11803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ED053-C454-D84E-BE6C-7ABA07FE7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66DCB-8E33-4E40-8CE3-2CE60A165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9F9F5-4B3D-E948-AC47-717823A1E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AEACE-AEC5-3249-83D7-C77195CF9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7F090-D181-5948-9E10-408D02A9B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97AEE-BAA0-B54A-9785-ECF8D4DDD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B0F34-8383-2041-AB1D-2ED1F62C8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9C2C8-18E6-0F4B-B32E-768896A3E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dget%20Template%20v3.xlsx" TargetMode="External"/><Relationship Id="rId2" Type="http://schemas.openxmlformats.org/officeDocument/2006/relationships/externalLinkPath" Target="/Users/cesarsanchez/Desktop/School/Excel/Budget%20Template%20v3.xlsx" TargetMode="External"/><Relationship Id="rId1" Type="http://schemas.openxmlformats.org/officeDocument/2006/relationships/externalLinkPath" Target="/Users/cesarsanchez/Desktop/School/Excel/Budget%20Template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Spending Template"/>
      <sheetName val="Yearly Overview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</sheetNames>
    <sheetDataSet>
      <sheetData sheetId="0">
        <row r="6">
          <cell r="N6">
            <v>0</v>
          </cell>
          <cell r="R6">
            <v>0</v>
          </cell>
          <cell r="X6" t="str">
            <v>Needs</v>
          </cell>
        </row>
        <row r="7">
          <cell r="N7">
            <v>0</v>
          </cell>
          <cell r="R7">
            <v>0</v>
          </cell>
          <cell r="X7" t="str">
            <v>Wants</v>
          </cell>
        </row>
        <row r="8">
          <cell r="N8">
            <v>0</v>
          </cell>
          <cell r="R8">
            <v>0</v>
          </cell>
          <cell r="X8" t="str">
            <v>Savings</v>
          </cell>
        </row>
      </sheetData>
      <sheetData sheetId="1">
        <row r="10">
          <cell r="E10" t="str">
            <v>Jan.</v>
          </cell>
          <cell r="F10" t="str">
            <v>Feb.</v>
          </cell>
          <cell r="G10" t="str">
            <v>Mar</v>
          </cell>
          <cell r="H10" t="str">
            <v>Apr</v>
          </cell>
          <cell r="I10" t="str">
            <v>May</v>
          </cell>
          <cell r="J10" t="str">
            <v>Jun</v>
          </cell>
          <cell r="K10" t="str">
            <v>Jul</v>
          </cell>
          <cell r="L10" t="str">
            <v>Aug</v>
          </cell>
          <cell r="M10" t="str">
            <v>Sept</v>
          </cell>
          <cell r="N10" t="str">
            <v>Oct</v>
          </cell>
          <cell r="O10" t="str">
            <v>Nov</v>
          </cell>
          <cell r="P10" t="str">
            <v>Dec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2654.2699999999995</v>
          </cell>
          <cell r="M11">
            <v>2197.54</v>
          </cell>
          <cell r="N11">
            <v>0</v>
          </cell>
          <cell r="O11">
            <v>0</v>
          </cell>
          <cell r="P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981.61</v>
          </cell>
          <cell r="M12">
            <v>232.24</v>
          </cell>
          <cell r="N12">
            <v>0</v>
          </cell>
          <cell r="O12">
            <v>0</v>
          </cell>
          <cell r="P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955.65999999999985</v>
          </cell>
          <cell r="M13">
            <v>137.38999999999999</v>
          </cell>
          <cell r="N13">
            <v>0</v>
          </cell>
          <cell r="O13">
            <v>0</v>
          </cell>
          <cell r="P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677.65</v>
          </cell>
          <cell r="M14">
            <v>365.67</v>
          </cell>
          <cell r="N14">
            <v>0</v>
          </cell>
          <cell r="O14">
            <v>0</v>
          </cell>
          <cell r="P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1937.27</v>
          </cell>
          <cell r="M15">
            <v>369.63</v>
          </cell>
          <cell r="N15">
            <v>0</v>
          </cell>
          <cell r="O15">
            <v>0</v>
          </cell>
          <cell r="P15">
            <v>0</v>
          </cell>
        </row>
        <row r="22">
          <cell r="C22" t="str">
            <v>Subscriptions</v>
          </cell>
          <cell r="R22">
            <v>63.789999999999992</v>
          </cell>
        </row>
        <row r="23">
          <cell r="C23" t="str">
            <v>Gas</v>
          </cell>
          <cell r="R23">
            <v>93.85</v>
          </cell>
        </row>
        <row r="24">
          <cell r="C24" t="str">
            <v>Other</v>
          </cell>
          <cell r="R24">
            <v>537.44999999999993</v>
          </cell>
        </row>
        <row r="25">
          <cell r="C25" t="str">
            <v>Groceries</v>
          </cell>
          <cell r="R25">
            <v>70</v>
          </cell>
        </row>
        <row r="26">
          <cell r="C26" t="str">
            <v>Dining out</v>
          </cell>
          <cell r="R26">
            <v>220.45000000000002</v>
          </cell>
        </row>
        <row r="27">
          <cell r="C27" t="str">
            <v>Rent</v>
          </cell>
          <cell r="R27">
            <v>650</v>
          </cell>
        </row>
        <row r="28">
          <cell r="C28" t="str">
            <v>Shopping</v>
          </cell>
          <cell r="R28">
            <v>271.36</v>
          </cell>
        </row>
        <row r="29">
          <cell r="C29" t="str">
            <v>Credit Card</v>
          </cell>
          <cell r="R29">
            <v>400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93CE1-72A8-934D-A0F6-B18498EA5939}" name="IncomeTbl_MonthlySpendingTemplate57" displayName="IncomeTbl_MonthlySpendingTemplate57" ref="B13:C19" totalsRowShown="0" headerRowDxfId="161">
  <autoFilter ref="B13:C19" xr:uid="{1AA615E9-0FE4-8049-8CB9-F6EB34AB4DDE}"/>
  <tableColumns count="2">
    <tableColumn id="1" xr3:uid="{513A8826-A18C-0641-AD2F-6363CF881239}" name="Source" dataDxfId="160"/>
    <tableColumn id="2" xr3:uid="{0AFFE87D-C4DC-A148-A01A-F0074CA150A7}" name="Amount" dataDxfId="15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870CB-F655-D244-8D0B-3363E99CEC17}" name="BillsTbl_MonthlySpendingTemplate59" displayName="BillsTbl_MonthlySpendingTemplate59" ref="B22:F34" totalsRowShown="0" headerRowDxfId="158">
  <autoFilter ref="B22:F34" xr:uid="{FF59E4F3-5284-A24D-A2F5-AB5F7231A2C9}"/>
  <tableColumns count="5">
    <tableColumn id="1" xr3:uid="{8FCE68AC-3A15-D04B-96A4-9742D0A56A39}" name="Bill Name" dataDxfId="157"/>
    <tableColumn id="2" xr3:uid="{D1D4C1BB-2828-FB4F-ABCB-88FE25AC71EA}" name="Category" dataDxfId="156"/>
    <tableColumn id="3" xr3:uid="{084B73E4-E831-7041-86E2-207909CB211D}" name="Amount" dataDxfId="155"/>
    <tableColumn id="4" xr3:uid="{3F97900A-A84A-804F-9A1D-1C8E3F6AAC00}" name="Paid?" dataDxfId="154"/>
    <tableColumn id="5" xr3:uid="{3288E60E-C0C4-8B49-9333-5516E6BFB207}" name="Actual" dataDxfId="153">
      <calculatedColumnFormula>IF(E23=TRUE(),D23,0)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7A24F5-CD74-224B-BC5D-A00D8AE545B2}" name="SavingsTbl_MonthlySpendingTemplate60" displayName="SavingsTbl_MonthlySpendingTemplate60" ref="E13:F18" totalsRowShown="0" headerRowDxfId="152">
  <autoFilter ref="E13:F18" xr:uid="{D3CA06A7-9A51-0946-A8AC-102A73C278D2}"/>
  <tableColumns count="2">
    <tableColumn id="1" xr3:uid="{A948B55F-4C45-BA41-B31B-FBB9603DB261}" name="Account" dataDxfId="151"/>
    <tableColumn id="2" xr3:uid="{AD03F4AA-F750-B443-BFD7-16C71CC685A3}" name="Amount" dataDxfId="15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B8D1DA-BDF6-7F45-8C64-A50422E8228E}" name="IncomeTbl_MonthlySpendingTemplate575" displayName="IncomeTbl_MonthlySpendingTemplate575" ref="B13:C19" totalsRowShown="0" headerRowDxfId="149">
  <autoFilter ref="B13:C19" xr:uid="{1AA615E9-0FE4-8049-8CB9-F6EB34AB4DDE}"/>
  <tableColumns count="2">
    <tableColumn id="1" xr3:uid="{A47B05EE-F9C1-3342-9391-A1D1FC3BE6DE}" name="Source" dataDxfId="148"/>
    <tableColumn id="2" xr3:uid="{7FD81704-4648-724F-9084-6074ECC13AB3}" name="Amount" dataDxfId="14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0E3839-A970-6A4A-B2E5-F583B0368A4C}" name="BillsTbl_MonthlySpendingTemplate596" displayName="BillsTbl_MonthlySpendingTemplate596" ref="B22:F34" totalsRowShown="0" headerRowDxfId="146">
  <autoFilter ref="B22:F34" xr:uid="{FF59E4F3-5284-A24D-A2F5-AB5F7231A2C9}"/>
  <tableColumns count="5">
    <tableColumn id="1" xr3:uid="{F26205CA-096E-654F-A4C3-7A9446C37089}" name="Bill Name" dataDxfId="145"/>
    <tableColumn id="2" xr3:uid="{553B7296-56A7-354A-9CFB-F1F95948BFDC}" name="Category" dataDxfId="144"/>
    <tableColumn id="3" xr3:uid="{C881AC45-F87D-394C-B69B-78D061BAAE2C}" name="Amount" dataDxfId="143"/>
    <tableColumn id="4" xr3:uid="{3642E321-CD31-4748-84A0-9C2B67E5CD6C}" name="Paid?" dataDxfId="142"/>
    <tableColumn id="5" xr3:uid="{F2853D9C-F909-7D4B-B5BB-075C971B6D43}" name="Actual" dataDxfId="141">
      <calculatedColumnFormula>IF(E23=TRUE(),D23,0)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9A799E-49AE-6F40-8F67-7A7773116265}" name="SavingsTbl_MonthlySpendingTemplate607" displayName="SavingsTbl_MonthlySpendingTemplate607" ref="E13:F18" totalsRowShown="0" headerRowDxfId="140">
  <autoFilter ref="E13:F18" xr:uid="{D3CA06A7-9A51-0946-A8AC-102A73C278D2}"/>
  <tableColumns count="2">
    <tableColumn id="1" xr3:uid="{38603952-D375-D840-9283-76695637286E}" name="Account" dataDxfId="139"/>
    <tableColumn id="2" xr3:uid="{45EAB1B0-71B0-054A-9F27-73839C07E5D0}" name="Amount" dataDxfId="13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7C18BB-C1DC-DA45-BFE5-3B7189B0D00E}" name="IncomeTbl_MonthlySpendingTemplate5758" displayName="IncomeTbl_MonthlySpendingTemplate5758" ref="B13:C19" totalsRowShown="0" headerRowDxfId="137">
  <autoFilter ref="B13:C19" xr:uid="{1AA615E9-0FE4-8049-8CB9-F6EB34AB4DDE}"/>
  <tableColumns count="2">
    <tableColumn id="1" xr3:uid="{B93F7BF6-CA30-7342-A101-95913FAFE8BA}" name="Source" dataDxfId="136"/>
    <tableColumn id="2" xr3:uid="{3D0B3131-1167-434C-A79B-6956106DBECE}" name="Amount" dataDxfId="13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6B5533-6FE6-FB4A-858A-33D4DEF6E531}" name="BillsTbl_MonthlySpendingTemplate5969" displayName="BillsTbl_MonthlySpendingTemplate5969" ref="B22:F34" totalsRowShown="0" headerRowDxfId="134">
  <autoFilter ref="B22:F34" xr:uid="{FF59E4F3-5284-A24D-A2F5-AB5F7231A2C9}"/>
  <tableColumns count="5">
    <tableColumn id="1" xr3:uid="{B6DA49E8-BB6A-814F-91FC-DB0E1C28AB2E}" name="Bill Name" dataDxfId="133"/>
    <tableColumn id="2" xr3:uid="{7D3EB21F-0C74-5046-9CE5-28C721E46C2F}" name="Category" dataDxfId="132"/>
    <tableColumn id="3" xr3:uid="{F3B1F1B5-EA51-9C45-B6BD-AAED5AD2A6B4}" name="Amount" dataDxfId="131"/>
    <tableColumn id="4" xr3:uid="{C7D4DACC-7F72-9A4C-863D-38FB7B93A598}" name="Paid?" dataDxfId="130"/>
    <tableColumn id="5" xr3:uid="{B65BA62B-9D76-5747-A540-29FF47E337F3}" name="Actual" dataDxfId="129">
      <calculatedColumnFormula>IF(E23=TRUE(),D23,0)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F89192-C5D8-414A-94E2-8ED9EEC3A91E}" name="SavingsTbl_MonthlySpendingTemplate60710" displayName="SavingsTbl_MonthlySpendingTemplate60710" ref="E13:F18" totalsRowShown="0" headerRowDxfId="128">
  <autoFilter ref="E13:F18" xr:uid="{D3CA06A7-9A51-0946-A8AC-102A73C278D2}"/>
  <tableColumns count="2">
    <tableColumn id="1" xr3:uid="{4BF607F1-CD77-6043-B0C0-8AD479AE70B0}" name="Account" dataDxfId="127"/>
    <tableColumn id="2" xr3:uid="{A4D5ABB5-384A-B74A-A7C5-E200B4953007}" name="Amount" dataDxfId="12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B997F6-E8DB-B841-AD2D-BBAC00255F3C}" name="IncomeTbl_MonthlySpendingTemplate575811" displayName="IncomeTbl_MonthlySpendingTemplate575811" ref="B13:C19" totalsRowShown="0" headerRowDxfId="125">
  <autoFilter ref="B13:C19" xr:uid="{1AA615E9-0FE4-8049-8CB9-F6EB34AB4DDE}"/>
  <tableColumns count="2">
    <tableColumn id="1" xr3:uid="{4F1AA6B9-8BB1-C14F-A6A3-05396575BD87}" name="Source" dataDxfId="124"/>
    <tableColumn id="2" xr3:uid="{CF642B41-D44C-EA4C-AC54-CDC9D4206C5E}" name="Amount" dataDxfId="12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8717FD-A6AB-C44F-862C-64D0D88D9185}" name="BillsTbl_MonthlySpendingTemplate596912" displayName="BillsTbl_MonthlySpendingTemplate596912" ref="B22:F34" totalsRowShown="0" headerRowDxfId="122">
  <autoFilter ref="B22:F34" xr:uid="{FF59E4F3-5284-A24D-A2F5-AB5F7231A2C9}"/>
  <tableColumns count="5">
    <tableColumn id="1" xr3:uid="{A6C59FCA-452F-B146-B9D1-4BFC61BD643F}" name="Bill Name" dataDxfId="121"/>
    <tableColumn id="2" xr3:uid="{96ADB43D-C692-4745-8971-E86755511E88}" name="Category" dataDxfId="120"/>
    <tableColumn id="3" xr3:uid="{A3B421DB-6D5E-CC42-8D5D-B3C4769FC1A4}" name="Amount" dataDxfId="119"/>
    <tableColumn id="4" xr3:uid="{52CBC140-C563-1545-9C72-DB7491EA6AAC}" name="Paid?" dataDxfId="118"/>
    <tableColumn id="5" xr3:uid="{991F3C9B-14BE-BD4D-A432-A4EE1A2FA9BE}" name="Actual" dataDxfId="117">
      <calculatedColumnFormula>IF(E23=TRUE(),D23,0)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6E2641-AF15-B342-B881-2A7C699D5C1F}" name="SavingsTbl_MonthlySpendingTemplate6071013" displayName="SavingsTbl_MonthlySpendingTemplate6071013" ref="E13:F18" totalsRowShown="0" headerRowDxfId="116">
  <autoFilter ref="E13:F18" xr:uid="{D3CA06A7-9A51-0946-A8AC-102A73C278D2}"/>
  <tableColumns count="2">
    <tableColumn id="1" xr3:uid="{52177DD0-309B-DE40-86AB-02378F96474F}" name="Account" dataDxfId="115"/>
    <tableColumn id="2" xr3:uid="{3A6D6065-F179-2749-991B-4AEC5751A2CF}" name="Amount" dataDxfId="11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596412-13BB-8D49-9FF7-FCE3A463DDF2}" name="IncomeTbl_MonthlySpendingTemplate57581114" displayName="IncomeTbl_MonthlySpendingTemplate57581114" ref="B13:C19" totalsRowShown="0" headerRowDxfId="113">
  <autoFilter ref="B13:C19" xr:uid="{1AA615E9-0FE4-8049-8CB9-F6EB34AB4DDE}"/>
  <tableColumns count="2">
    <tableColumn id="1" xr3:uid="{4A24FED0-337E-4A40-AC61-B41F83790DC4}" name="Source" dataDxfId="112"/>
    <tableColumn id="2" xr3:uid="{3EE29D99-6BCC-FA45-A6EB-E93A27C3983D}" name="Amount" dataDxfId="11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8D4761-EA0C-A04D-9A87-4A46F7E0D337}" name="BillsTbl_MonthlySpendingTemplate59691215" displayName="BillsTbl_MonthlySpendingTemplate59691215" ref="B22:F34" totalsRowShown="0" headerRowDxfId="110">
  <autoFilter ref="B22:F34" xr:uid="{FF59E4F3-5284-A24D-A2F5-AB5F7231A2C9}"/>
  <tableColumns count="5">
    <tableColumn id="1" xr3:uid="{CDC2CB87-EEB5-FF45-84BE-99EC6A36F2B2}" name="Bill Name" dataDxfId="109"/>
    <tableColumn id="2" xr3:uid="{34C2DA3C-C465-9044-B203-4C2E6583115E}" name="Category" dataDxfId="108"/>
    <tableColumn id="3" xr3:uid="{CFF0CF99-7737-CE48-9DD7-84C0468E51E7}" name="Amount" dataDxfId="107"/>
    <tableColumn id="4" xr3:uid="{86140549-35F6-7C4E-8C5B-44B6F8594968}" name="Paid?" dataDxfId="106"/>
    <tableColumn id="5" xr3:uid="{8CD4EE0A-8CD8-DD44-BC56-58F9538D78A2}" name="Actual" dataDxfId="105">
      <calculatedColumnFormula>IF(E23=TRUE(),D23,0)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0C63FB-E653-1D4E-A74C-96F2CF477822}" name="SavingsTbl_MonthlySpendingTemplate607101316" displayName="SavingsTbl_MonthlySpendingTemplate607101316" ref="E13:F18" totalsRowShown="0" headerRowDxfId="104">
  <autoFilter ref="E13:F18" xr:uid="{D3CA06A7-9A51-0946-A8AC-102A73C278D2}"/>
  <tableColumns count="2">
    <tableColumn id="1" xr3:uid="{72862128-0CB4-FE43-9E2F-8B729E6C4C1F}" name="Account" dataDxfId="103"/>
    <tableColumn id="2" xr3:uid="{361C9ACA-3EA9-C043-AD61-6520C9DAAEBD}" name="Amount" dataDxfId="10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EDAE2F4-B9EF-7B44-8984-4D48209714A7}" name="IncomeTbl_MonthlySpendingTemplate5758111417" displayName="IncomeTbl_MonthlySpendingTemplate5758111417" ref="B13:C19" totalsRowShown="0" headerRowDxfId="101">
  <autoFilter ref="B13:C19" xr:uid="{1AA615E9-0FE4-8049-8CB9-F6EB34AB4DDE}"/>
  <tableColumns count="2">
    <tableColumn id="1" xr3:uid="{BE2DFFA2-7BFA-694F-BC65-CB60FB6146BE}" name="Source" dataDxfId="100"/>
    <tableColumn id="2" xr3:uid="{A9D5A7DC-C281-E948-B404-62ECEDE07A11}" name="Amount" dataDxfId="9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8173C4-93B3-FD45-A793-7D2E7A5796F6}" name="BillsTbl_MonthlySpendingTemplate5969121518" displayName="BillsTbl_MonthlySpendingTemplate5969121518" ref="B22:F34" totalsRowShown="0" headerRowDxfId="98">
  <autoFilter ref="B22:F34" xr:uid="{FF59E4F3-5284-A24D-A2F5-AB5F7231A2C9}"/>
  <tableColumns count="5">
    <tableColumn id="1" xr3:uid="{26F25116-E0CD-3744-A556-DBB76FC1AE9C}" name="Bill Name" dataDxfId="97"/>
    <tableColumn id="2" xr3:uid="{35523179-5D40-1B44-989A-E285981313D9}" name="Category" dataDxfId="96"/>
    <tableColumn id="3" xr3:uid="{581E7FFA-ADCD-734D-BCFF-00AEF20252D4}" name="Amount" dataDxfId="95"/>
    <tableColumn id="4" xr3:uid="{890CCF30-8C73-F643-9D7B-34AA7104E299}" name="Paid?" dataDxfId="94"/>
    <tableColumn id="5" xr3:uid="{EC95791C-FCA6-714D-A285-257B8FD246B3}" name="Actual" dataDxfId="93">
      <calculatedColumnFormula>IF(E23=TRUE(),D23,0)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112950B-1A6B-D946-B889-539B2378249D}" name="SavingsTbl_MonthlySpendingTemplate60710131619" displayName="SavingsTbl_MonthlySpendingTemplate60710131619" ref="E13:F18" totalsRowShown="0" headerRowDxfId="92">
  <autoFilter ref="E13:F18" xr:uid="{D3CA06A7-9A51-0946-A8AC-102A73C278D2}"/>
  <tableColumns count="2">
    <tableColumn id="1" xr3:uid="{1103FAD3-0C6D-B94B-AF99-1F28BC33C4F3}" name="Account" dataDxfId="91"/>
    <tableColumn id="2" xr3:uid="{34F9FCCF-568B-7442-B53B-5C04ADDF2E51}" name="Amount" dataDxfId="9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166789F-B811-5343-90DE-AC27C6E3EFD9}" name="IncomeTbl_MonthlySpendingTemplate575811141720" displayName="IncomeTbl_MonthlySpendingTemplate575811141720" ref="B13:C19" totalsRowShown="0" headerRowDxfId="89">
  <autoFilter ref="B13:C19" xr:uid="{1AA615E9-0FE4-8049-8CB9-F6EB34AB4DDE}"/>
  <tableColumns count="2">
    <tableColumn id="1" xr3:uid="{DA17369C-6278-1246-8E5C-953428451031}" name="Source" dataDxfId="88"/>
    <tableColumn id="2" xr3:uid="{0C4829A7-17C7-D845-A1C7-D49146AD80CC}" name="Amount" dataDxfId="87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80278D0-D57E-E847-B247-755F9309E6FC}" name="BillsTbl_MonthlySpendingTemplate596912151821" displayName="BillsTbl_MonthlySpendingTemplate596912151821" ref="B22:F34" totalsRowShown="0" headerRowDxfId="86">
  <autoFilter ref="B22:F34" xr:uid="{FF59E4F3-5284-A24D-A2F5-AB5F7231A2C9}"/>
  <tableColumns count="5">
    <tableColumn id="1" xr3:uid="{BB7699E4-5BFF-5444-A247-894C721E64C8}" name="Bill Name" dataDxfId="85"/>
    <tableColumn id="2" xr3:uid="{ADC496E7-44F4-4445-B031-7ED122FDC310}" name="Category" dataDxfId="84"/>
    <tableColumn id="3" xr3:uid="{2E3194A7-F062-854B-9597-7F1F8B52732A}" name="Amount" dataDxfId="83"/>
    <tableColumn id="4" xr3:uid="{6C7B7302-3027-2A43-AA2F-467C7AE02797}" name="Paid?" dataDxfId="82"/>
    <tableColumn id="5" xr3:uid="{FB24DB0E-4374-B940-940A-15B901421A2F}" name="Actual" dataDxfId="81">
      <calculatedColumnFormula>IF(E23=TRUE(),D23,0)</calculatedColumnFormula>
    </tableColumn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821E27-ABC0-8F4E-A6D5-0A33A967748A}" name="SavingsTbl_MonthlySpendingTemplate6071013161922" displayName="SavingsTbl_MonthlySpendingTemplate6071013161922" ref="E13:F18" totalsRowShown="0" headerRowDxfId="80">
  <autoFilter ref="E13:F18" xr:uid="{D3CA06A7-9A51-0946-A8AC-102A73C278D2}"/>
  <tableColumns count="2">
    <tableColumn id="1" xr3:uid="{C3A204DF-117F-114E-BF25-B3A5A41B74F2}" name="Account" dataDxfId="79"/>
    <tableColumn id="2" xr3:uid="{0168E08A-02DE-404A-BB8B-247FFDB048C3}" name="Amount" dataDxfId="78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BDABC8-4C49-6C48-9CF0-E929F99911C3}" name="IncomeTbl_MonthlySpendingTemplate57581114172023" displayName="IncomeTbl_MonthlySpendingTemplate57581114172023" ref="B13:C19" totalsRowShown="0" headerRowDxfId="77">
  <autoFilter ref="B13:C19" xr:uid="{1AA615E9-0FE4-8049-8CB9-F6EB34AB4DDE}"/>
  <tableColumns count="2">
    <tableColumn id="1" xr3:uid="{936F38C9-52E8-324F-B7EA-D5FEA67A1096}" name="Source" dataDxfId="76"/>
    <tableColumn id="2" xr3:uid="{CF014C4D-670B-F340-B287-EB79EB9027BA}" name="Amount" dataDxfId="75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FDE153-74A2-2F41-B396-C45D8708E83A}" name="BillsTbl_MonthlySpendingTemplate59691215182124" displayName="BillsTbl_MonthlySpendingTemplate59691215182124" ref="B22:F34" totalsRowShown="0" headerRowDxfId="74">
  <autoFilter ref="B22:F34" xr:uid="{FF59E4F3-5284-A24D-A2F5-AB5F7231A2C9}"/>
  <tableColumns count="5">
    <tableColumn id="1" xr3:uid="{9E783E3D-EF01-F242-A297-05E573766D98}" name="Bill Name" dataDxfId="73"/>
    <tableColumn id="2" xr3:uid="{0146E40B-8A70-B448-970F-7E84D9B0A1E4}" name="Category" dataDxfId="72"/>
    <tableColumn id="3" xr3:uid="{C146A5D4-C21E-2748-9979-C8CA7511767C}" name="Amount" dataDxfId="71"/>
    <tableColumn id="4" xr3:uid="{428F7D59-1237-304A-BE48-E9F43A33839F}" name="Paid?" dataDxfId="70"/>
    <tableColumn id="5" xr3:uid="{3425AD5F-CFF2-1C44-86FE-54512304C6FF}" name="Actual" dataDxfId="69">
      <calculatedColumnFormula>IF(E23=TRUE(),D23,0)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A80894-AA97-F24A-8E24-AAE06E7BA18D}" name="SavingsTbl_MonthlySpendingTemplate607101316192225" displayName="SavingsTbl_MonthlySpendingTemplate607101316192225" ref="E13:F18" totalsRowShown="0" headerRowDxfId="68">
  <autoFilter ref="E13:F18" xr:uid="{D3CA06A7-9A51-0946-A8AC-102A73C278D2}"/>
  <tableColumns count="2">
    <tableColumn id="1" xr3:uid="{92A00259-9FDC-AE40-96EC-21E070A827E5}" name="Account" dataDxfId="67"/>
    <tableColumn id="2" xr3:uid="{D03AF52F-2755-8147-B694-92E37AD7E984}" name="Amount" dataDxfId="66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B263B32-7465-694D-8F3E-E41017632B03}" name="IncomeTbl_MonthlySpendingTemplate5758111417202326" displayName="IncomeTbl_MonthlySpendingTemplate5758111417202326" ref="B13:C19" totalsRowShown="0" headerRowDxfId="65">
  <autoFilter ref="B13:C19" xr:uid="{1AA615E9-0FE4-8049-8CB9-F6EB34AB4DDE}"/>
  <tableColumns count="2">
    <tableColumn id="1" xr3:uid="{5963F35B-FD29-5A44-90AC-8296DD180BF6}" name="Source" dataDxfId="64"/>
    <tableColumn id="2" xr3:uid="{F5EDFCA8-0B0A-C445-A6BE-FD4B0FE2A212}" name="Amount" dataDxfId="63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4941FF4-1968-DB45-8AF8-7E0FF2B9C60B}" name="BillsTbl_MonthlySpendingTemplate5969121518212427" displayName="BillsTbl_MonthlySpendingTemplate5969121518212427" ref="B22:F34" totalsRowShown="0" headerRowDxfId="62">
  <autoFilter ref="B22:F34" xr:uid="{FF59E4F3-5284-A24D-A2F5-AB5F7231A2C9}"/>
  <tableColumns count="5">
    <tableColumn id="1" xr3:uid="{96197A7E-3791-C54A-B5A6-DD71B0642B0F}" name="Bill Name" dataDxfId="61"/>
    <tableColumn id="2" xr3:uid="{1D79285E-85B8-F540-A0E4-D147E39B0B5A}" name="Category" dataDxfId="60"/>
    <tableColumn id="3" xr3:uid="{D3234336-157B-8849-B1E9-7DF21F0AC70F}" name="Amount" dataDxfId="59"/>
    <tableColumn id="4" xr3:uid="{97A24581-5401-634C-8E2E-0593145521B2}" name="Paid?" dataDxfId="58"/>
    <tableColumn id="5" xr3:uid="{EC6B6755-29E2-D54E-B970-58A199F5C4A6}" name="Actual" dataDxfId="57">
      <calculatedColumnFormula>IF(E23=TRUE(),D23,0)</calculatedColumnFormula>
    </tableColumn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57E8D7-3B37-674B-9309-1F38473459BF}" name="SavingsTbl_MonthlySpendingTemplate60710131619222528" displayName="SavingsTbl_MonthlySpendingTemplate60710131619222528" ref="E13:F18" totalsRowShown="0" headerRowDxfId="56">
  <autoFilter ref="E13:F18" xr:uid="{D3CA06A7-9A51-0946-A8AC-102A73C278D2}"/>
  <tableColumns count="2">
    <tableColumn id="1" xr3:uid="{9A464B7C-6464-4049-875D-C518AC4166CB}" name="Account" dataDxfId="55"/>
    <tableColumn id="2" xr3:uid="{546C3FBA-31DE-D048-8BE4-BA6BBA23379F}" name="Amount" dataDxfId="54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56ADE6D-AFA3-224B-A2FC-BE837A829700}" name="IncomeTbl_MonthlySpendingTemplate575811141720232629" displayName="IncomeTbl_MonthlySpendingTemplate575811141720232629" ref="B13:C19" totalsRowShown="0" headerRowDxfId="53">
  <autoFilter ref="B13:C19" xr:uid="{1AA615E9-0FE4-8049-8CB9-F6EB34AB4DDE}"/>
  <tableColumns count="2">
    <tableColumn id="1" xr3:uid="{C15D7B9F-3883-0748-AB22-A9EDED084F35}" name="Source" dataDxfId="52"/>
    <tableColumn id="2" xr3:uid="{B56DC85E-F0CD-174B-9C73-BBDAC676B545}" name="Amount" dataDxfId="5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F23ADC4-EC86-4B48-9ADD-49647347E374}" name="BillsTbl_MonthlySpendingTemplate596912151821242730" displayName="BillsTbl_MonthlySpendingTemplate596912151821242730" ref="B22:F34" totalsRowShown="0" headerRowDxfId="50">
  <autoFilter ref="B22:F34" xr:uid="{FF59E4F3-5284-A24D-A2F5-AB5F7231A2C9}"/>
  <tableColumns count="5">
    <tableColumn id="1" xr3:uid="{FDDA4761-7F0B-6B4B-B1A9-BC81C717BBE7}" name="Bill Name" dataDxfId="49"/>
    <tableColumn id="2" xr3:uid="{047CEDD0-6432-4742-8009-994575E82FA9}" name="Category" dataDxfId="48"/>
    <tableColumn id="3" xr3:uid="{807E76E0-CB12-E141-A965-F63A853C5E55}" name="Amount" dataDxfId="47"/>
    <tableColumn id="4" xr3:uid="{910BA6E5-6903-4246-A34A-313EAA1917CD}" name="Paid?" dataDxfId="46"/>
    <tableColumn id="5" xr3:uid="{DC0537FA-32EE-0748-9D2C-3C299497F6BF}" name="Actual" dataDxfId="45">
      <calculatedColumnFormula>IF(E23=TRUE(),D23,0)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8D35AD6-7D77-534E-BED3-174A53EF0B02}" name="SavingsTbl_MonthlySpendingTemplate6071013161922252831" displayName="SavingsTbl_MonthlySpendingTemplate6071013161922252831" ref="E13:F18" totalsRowShown="0" headerRowDxfId="44">
  <autoFilter ref="E13:F18" xr:uid="{D3CA06A7-9A51-0946-A8AC-102A73C278D2}"/>
  <tableColumns count="2">
    <tableColumn id="1" xr3:uid="{D8C89AD5-094D-1C44-B6A8-821184E0070C}" name="Account" dataDxfId="43"/>
    <tableColumn id="2" xr3:uid="{B1CE6A6D-B2DE-FD4F-BFBD-09F329B062D1}" name="Amount" dataDxfId="4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9ADB42B-11BA-9042-B876-CDF40C76B180}" name="IncomeTbl_MonthlySpendingTemplate57581114172023262932" displayName="IncomeTbl_MonthlySpendingTemplate57581114172023262932" ref="B13:C19" totalsRowShown="0" headerRowDxfId="41">
  <autoFilter ref="B13:C19" xr:uid="{1AA615E9-0FE4-8049-8CB9-F6EB34AB4DDE}"/>
  <tableColumns count="2">
    <tableColumn id="1" xr3:uid="{3FB54380-E589-BF4F-BAFA-2F70480FD27F}" name="Source" dataDxfId="40"/>
    <tableColumn id="2" xr3:uid="{BFDAC248-3C26-9C4D-BDAA-1111FAE88EE6}" name="Amount" dataDxfId="39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03289F8-A864-F041-AE56-F2F897D5887E}" name="BillsTbl_MonthlySpendingTemplate59691215182124273033" displayName="BillsTbl_MonthlySpendingTemplate59691215182124273033" ref="B22:F34" totalsRowShown="0" headerRowDxfId="38">
  <autoFilter ref="B22:F34" xr:uid="{FF59E4F3-5284-A24D-A2F5-AB5F7231A2C9}"/>
  <tableColumns count="5">
    <tableColumn id="1" xr3:uid="{09792FA2-C18F-A44C-904F-F7DD7062AD2C}" name="Bill Name" dataDxfId="37"/>
    <tableColumn id="2" xr3:uid="{1CA950B9-22AF-E243-9FC6-B712A3069F07}" name="Category" dataDxfId="36"/>
    <tableColumn id="3" xr3:uid="{7E772F1E-BC3B-C94F-AC03-0F89658B95AF}" name="Amount" dataDxfId="35"/>
    <tableColumn id="4" xr3:uid="{63379AE9-AB6D-F244-BD2F-85A66BCAE63C}" name="Paid?" dataDxfId="34"/>
    <tableColumn id="5" xr3:uid="{6E9EFF70-9C84-EA46-BE25-FFE81C3D06BE}" name="Actual" dataDxfId="33">
      <calculatedColumnFormula>IF(E23=TRUE(),D23,0)</calculatedColumnFormula>
    </tableColumn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35F6432-5035-A34A-A3EF-A3963E8EBF20}" name="SavingsTbl_MonthlySpendingTemplate607101316192225283134" displayName="SavingsTbl_MonthlySpendingTemplate607101316192225283134" ref="E13:F18" totalsRowShown="0" headerRowDxfId="32">
  <autoFilter ref="E13:F18" xr:uid="{D3CA06A7-9A51-0946-A8AC-102A73C278D2}"/>
  <tableColumns count="2">
    <tableColumn id="1" xr3:uid="{3FEB5124-87C8-114F-95A8-D6B8097D9E0B}" name="Account" dataDxfId="31"/>
    <tableColumn id="2" xr3:uid="{3DA25CB6-8F9C-C64C-9121-ECE031DF58B8}" name="Amount" dataDxfId="30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0DACF60-D652-0B4D-93BC-D33BA82FC670}" name="IncomeTbl_MonthlySpendingTemplate5758111417202326293235" displayName="IncomeTbl_MonthlySpendingTemplate5758111417202326293235" ref="B13:C19" totalsRowShown="0" headerRowDxfId="29">
  <autoFilter ref="B13:C19" xr:uid="{1AA615E9-0FE4-8049-8CB9-F6EB34AB4DDE}"/>
  <tableColumns count="2">
    <tableColumn id="1" xr3:uid="{9B6109EA-47C6-DB40-8FB0-E4FA60F34A5B}" name="Source" dataDxfId="28"/>
    <tableColumn id="2" xr3:uid="{887897EB-F2CD-3A4B-8B4E-75B79F8A7D5F}" name="Amount" dataDxfId="27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65DC4A5-BA72-7943-81D0-1768EF4F53C8}" name="BillsTbl_MonthlySpendingTemplate5969121518212427303336" displayName="BillsTbl_MonthlySpendingTemplate5969121518212427303336" ref="B22:F34" totalsRowShown="0" headerRowDxfId="26">
  <autoFilter ref="B22:F34" xr:uid="{FF59E4F3-5284-A24D-A2F5-AB5F7231A2C9}"/>
  <tableColumns count="5">
    <tableColumn id="1" xr3:uid="{B4D8AA7A-B8E9-4A4E-A9B7-B79EEC2F4B15}" name="Bill Name" dataDxfId="25"/>
    <tableColumn id="2" xr3:uid="{BA832BD1-9006-0942-B546-44442355ED7D}" name="Category" dataDxfId="24"/>
    <tableColumn id="3" xr3:uid="{DCBF1E9C-37AD-6D4D-9A8C-F372322F14FB}" name="Amount" dataDxfId="23"/>
    <tableColumn id="4" xr3:uid="{45243F3A-9E4F-8F48-AD2B-36658997758F}" name="Paid?" dataDxfId="22"/>
    <tableColumn id="5" xr3:uid="{DF6B0FA4-7311-FF48-8F7E-482A8921C8F8}" name="Actual" dataDxfId="21">
      <calculatedColumnFormula>IF(E23=TRUE(),D23,0)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50A7146-028D-9B41-916D-BA6D6F059C3E}" name="SavingsTbl_MonthlySpendingTemplate60710131619222528313437" displayName="SavingsTbl_MonthlySpendingTemplate60710131619222528313437" ref="E13:F18" totalsRowShown="0" headerRowDxfId="20">
  <autoFilter ref="E13:F18" xr:uid="{D3CA06A7-9A51-0946-A8AC-102A73C278D2}"/>
  <tableColumns count="2">
    <tableColumn id="1" xr3:uid="{7E19DC25-5F26-A343-8C2A-1E70E12D5248}" name="Account" dataDxfId="19"/>
    <tableColumn id="2" xr3:uid="{8E3ECF16-0892-6E47-B7CE-064E4B1FEB5D}" name="Amount" dataDxfId="18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C34E378-B0F2-894C-A16C-DC0E3328567F}" name="IncomeTbl_MonthlySpendingTemplate575811141720232629323538" displayName="IncomeTbl_MonthlySpendingTemplate575811141720232629323538" ref="B13:C19" totalsRowShown="0" headerRowDxfId="17">
  <autoFilter ref="B13:C19" xr:uid="{1AA615E9-0FE4-8049-8CB9-F6EB34AB4DDE}"/>
  <tableColumns count="2">
    <tableColumn id="1" xr3:uid="{05B937BE-6D7C-8048-863D-B1ED18A4B06B}" name="Source" dataDxfId="16"/>
    <tableColumn id="2" xr3:uid="{E07ED6B0-0CB4-7B4A-A8C9-44B8CDD76438}" name="Amount" dataDxfId="15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0F5FD41-88D9-AD41-9C9E-5BBB891405FD}" name="BillsTbl_MonthlySpendingTemplate596912151821242730333639" displayName="BillsTbl_MonthlySpendingTemplate596912151821242730333639" ref="B22:F34" totalsRowShown="0" headerRowDxfId="14">
  <autoFilter ref="B22:F34" xr:uid="{FF59E4F3-5284-A24D-A2F5-AB5F7231A2C9}"/>
  <tableColumns count="5">
    <tableColumn id="1" xr3:uid="{FFE4563E-CDAB-014F-BB88-4BCD30886B0D}" name="Bill Name" dataDxfId="13"/>
    <tableColumn id="2" xr3:uid="{A797036B-26E9-2D49-A3CA-40FE91C3659B}" name="Category" dataDxfId="12"/>
    <tableColumn id="3" xr3:uid="{2797CC59-DEC2-3742-A166-7DDEDA3A2E27}" name="Amount" dataDxfId="11"/>
    <tableColumn id="4" xr3:uid="{AEABCBAF-561A-1D41-8A05-84674C2751FE}" name="Paid?" dataDxfId="10"/>
    <tableColumn id="5" xr3:uid="{313EDB2B-1FFC-8E46-9F33-145E9F2C3506}" name="Actual" dataDxfId="9">
      <calculatedColumnFormula>IF(E23=TRUE(),D23,0)</calculatedColumnFormula>
    </tableColumn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6F344C5-D03C-6541-8880-02AF27ADCA8A}" name="SavingsTbl_MonthlySpendingTemplate6071013161922252831343740" displayName="SavingsTbl_MonthlySpendingTemplate6071013161922252831343740" ref="E13:F18" totalsRowShown="0" headerRowDxfId="8">
  <autoFilter ref="E13:F18" xr:uid="{D3CA06A7-9A51-0946-A8AC-102A73C278D2}"/>
  <tableColumns count="2">
    <tableColumn id="1" xr3:uid="{0B420229-7A91-F541-972E-13285B354E22}" name="Account" dataDxfId="7"/>
    <tableColumn id="2" xr3:uid="{A29D46E2-F9DD-384A-9B2D-76BE82EF51BC}" name="Amount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6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8.xml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9.xml"/><Relationship Id="rId4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10.xml"/><Relationship Id="rId4" Type="http://schemas.openxmlformats.org/officeDocument/2006/relationships/table" Target="../tables/table2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1.xml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2.xml"/><Relationship Id="rId4" Type="http://schemas.openxmlformats.org/officeDocument/2006/relationships/table" Target="../tables/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3.xml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4.xml"/><Relationship Id="rId4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BD36-1DCC-4742-8FEE-2CCC21445AB7}">
  <dimension ref="A1:AG72"/>
  <sheetViews>
    <sheetView showGridLines="0" zoomScale="75" zoomScaleNormal="100" workbookViewId="0">
      <pane ySplit="1" topLeftCell="A2" activePane="bottomLeft" state="frozen"/>
      <selection pane="bottomLeft" activeCell="F45" sqref="F45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COUNTIF(BillsTbl_MonthlySpendingTemplate59[Paid?],TRUE())&amp;" / "&amp;COUNTA(BillsTbl_MonthlySpendingTemplate59[Bill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SUMIFS(BillsTbl_MonthlySpendingTemplate59[Actual],BillsTbl_MonthlySpendingTemplate59[Category],"Subscriptions")+SUMIFS(K14:K72,J14:J72,"Subscriptions")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SUMIFS(BillsTbl_MonthlySpendingTemplate59[Actual],BillsTbl_MonthlySpendingTemplate59[Category],"Gas")+SUMIFS(K14:K72,J14:J72,"Gas")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SUMIFS(BillsTbl_MonthlySpendingTemplate59[Actual],BillsTbl_MonthlySpendingTemplate59[Category],"Other")+SUMIFS(K14:K72,J14:J72,"Other")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SUMIFS(BillsTbl_MonthlySpendingTemplate59[Actual],BillsTbl_MonthlySpendingTemplate59[Category],"Groceries")+SUMIFS(K14:K72,J14:J72,"Groceries")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SUMIFS(BillsTbl_MonthlySpendingTemplate59[Actual],BillsTbl_MonthlySpendingTemplate59[Category],"Dining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SUMIFS(BillsTbl_MonthlySpendingTemplate59[Actual],BillsTbl_MonthlySpendingTemplate59[Category],"Rent")+SUMIFS(K14:K72,J14:J72,"Rent")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SUMIFS(BillsTbl_MonthlySpendingTemplate59[Actual],BillsTbl_MonthlySpendingTemplate59[Category],"Shopping")+SUMIFS(K14:K72,J14:J72,"Shopping")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SUMIFS(BillsTbl_MonthlySpendingTemplate59[Actual],BillsTbl_MonthlySpendingTemplate59[Category],"Credit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D88C0688-C633-724D-BE82-B64B1FBF5D61}">
      <formula1>$C$37:$C$40</formula1>
    </dataValidation>
    <dataValidation type="list" allowBlank="1" showInputMessage="1" showErrorMessage="1" sqref="N5" xr:uid="{11063DC1-E0C9-4A4D-80D0-1B1ED7AFE218}">
      <formula1>$O$5:$O$6</formula1>
    </dataValidation>
    <dataValidation type="list" allowBlank="1" sqref="E23:E34" xr:uid="{2C993432-FA06-BD47-B806-F213EBC48298}">
      <formula1>"TRUE,FALSE"</formula1>
      <formula2>0</formula2>
    </dataValidation>
    <dataValidation type="list" allowBlank="1" sqref="C23:C34 J14:J72" xr:uid="{3DB72DFC-5006-D845-BBB2-C37272C9DA6D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8A6E-0BA5-A848-8E87-8615E3E321FE}">
  <sheetPr>
    <tabColor rgb="FFC9A227"/>
  </sheetPr>
  <dimension ref="A1:R1000"/>
  <sheetViews>
    <sheetView showGridLines="0" tabSelected="1" zoomScale="69" zoomScaleNormal="100" workbookViewId="0">
      <selection activeCell="L26" sqref="L26"/>
    </sheetView>
  </sheetViews>
  <sheetFormatPr baseColWidth="10" defaultColWidth="11.1640625" defaultRowHeight="16" x14ac:dyDescent="0.2"/>
  <cols>
    <col min="1" max="2" width="3" customWidth="1"/>
    <col min="3" max="3" width="14" customWidth="1"/>
    <col min="4" max="4" width="5.6640625" customWidth="1"/>
    <col min="5" max="5" width="15.1640625" customWidth="1"/>
    <col min="6" max="7" width="14" customWidth="1"/>
    <col min="8" max="16" width="11" customWidth="1"/>
    <col min="17" max="17" width="17.33203125" customWidth="1"/>
    <col min="18" max="26" width="11" customWidth="1"/>
  </cols>
  <sheetData>
    <row r="1" spans="1:18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2">
      <c r="A2" s="1"/>
      <c r="B2" s="1"/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 x14ac:dyDescent="0.2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 customHeight="1" x14ac:dyDescent="0.2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75" customHeight="1" x14ac:dyDescent="0.2">
      <c r="A5" s="1"/>
      <c r="L5" s="3"/>
      <c r="M5" s="3"/>
      <c r="N5" s="3"/>
      <c r="O5" s="3"/>
    </row>
    <row r="6" spans="1:18" ht="15.75" customHeight="1" x14ac:dyDescent="0.2">
      <c r="A6" s="1"/>
      <c r="C6" s="4" t="s">
        <v>1</v>
      </c>
      <c r="D6" s="4"/>
      <c r="F6" s="5" t="s">
        <v>2</v>
      </c>
      <c r="G6" s="5"/>
      <c r="I6" s="6" t="s">
        <v>3</v>
      </c>
      <c r="J6" s="7"/>
      <c r="L6" s="6" t="s">
        <v>4</v>
      </c>
      <c r="M6" s="7"/>
      <c r="N6" s="1"/>
      <c r="O6" s="1"/>
    </row>
    <row r="7" spans="1:18" ht="15.75" customHeight="1" x14ac:dyDescent="0.2">
      <c r="A7" s="1"/>
      <c r="B7" s="1"/>
      <c r="C7" s="8">
        <f>SUM(E11:P11)</f>
        <v>0</v>
      </c>
      <c r="D7" s="8"/>
      <c r="E7" s="9"/>
      <c r="F7" s="10">
        <f>SUM(E15:P15)</f>
        <v>0</v>
      </c>
      <c r="G7" s="10"/>
      <c r="H7" s="9"/>
      <c r="I7" s="11">
        <f>IFERROR(AVERAGE(E17:P17),0)</f>
        <v>0</v>
      </c>
      <c r="J7" s="12"/>
      <c r="K7" s="9"/>
      <c r="L7" s="13">
        <f>SUM(E16:P16)</f>
        <v>0</v>
      </c>
      <c r="M7" s="14"/>
      <c r="N7" s="9"/>
      <c r="O7" s="9"/>
    </row>
    <row r="8" spans="1:18" ht="15.75" customHeight="1" x14ac:dyDescent="0.2">
      <c r="A8" s="1"/>
      <c r="B8" s="1"/>
      <c r="C8" s="15"/>
      <c r="D8" s="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"/>
      <c r="R8" s="1"/>
    </row>
    <row r="9" spans="1:18" ht="15.75" customHeight="1" thickBot="1" x14ac:dyDescent="0.25">
      <c r="A9" s="1"/>
      <c r="B9" s="1"/>
      <c r="C9" s="15"/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" customHeight="1" x14ac:dyDescent="0.2">
      <c r="A10" s="1"/>
      <c r="B10" s="1"/>
      <c r="C10" s="16" t="s">
        <v>5</v>
      </c>
      <c r="D10" s="17"/>
      <c r="E10" s="18" t="s">
        <v>26</v>
      </c>
      <c r="F10" s="18" t="s">
        <v>27</v>
      </c>
      <c r="G10" s="18" t="s">
        <v>6</v>
      </c>
      <c r="H10" s="18" t="s">
        <v>7</v>
      </c>
      <c r="I10" s="18" t="s">
        <v>8</v>
      </c>
      <c r="J10" s="18" t="s">
        <v>9</v>
      </c>
      <c r="K10" s="18" t="s">
        <v>10</v>
      </c>
      <c r="L10" s="18" t="s">
        <v>11</v>
      </c>
      <c r="M10" s="18" t="s">
        <v>12</v>
      </c>
      <c r="N10" s="18" t="s">
        <v>13</v>
      </c>
      <c r="O10" s="18" t="s">
        <v>14</v>
      </c>
      <c r="P10" s="18" t="s">
        <v>15</v>
      </c>
      <c r="Q10" s="1"/>
      <c r="R10" s="1"/>
    </row>
    <row r="11" spans="1:18" ht="15.75" customHeight="1" thickBot="1" x14ac:dyDescent="0.25">
      <c r="A11" s="1"/>
      <c r="B11" s="1"/>
      <c r="C11" s="19" t="s">
        <v>16</v>
      </c>
      <c r="D11" s="20"/>
      <c r="E11" s="21">
        <f>Jan!$B$6</f>
        <v>0</v>
      </c>
      <c r="F11" s="21">
        <f>Feb!$B$6</f>
        <v>0</v>
      </c>
      <c r="G11" s="21">
        <f>Mar!$B$6</f>
        <v>0</v>
      </c>
      <c r="H11" s="21">
        <f>Apr!$B$6</f>
        <v>0</v>
      </c>
      <c r="I11" s="21">
        <f>May!$B$6</f>
        <v>0</v>
      </c>
      <c r="J11" s="21">
        <f>Jun!$B$6</f>
        <v>0</v>
      </c>
      <c r="K11" s="21">
        <f>Jul!$B$6</f>
        <v>0</v>
      </c>
      <c r="L11" s="21">
        <f>Aug!$B$6</f>
        <v>0</v>
      </c>
      <c r="M11" s="21">
        <f>Sept!$B$6</f>
        <v>0</v>
      </c>
      <c r="N11" s="21">
        <f>Oct!$B$6</f>
        <v>0</v>
      </c>
      <c r="O11" s="21">
        <f>Nov!$B$6</f>
        <v>0</v>
      </c>
      <c r="P11" s="21">
        <f>Dec!$B$6</f>
        <v>0</v>
      </c>
      <c r="Q11" s="1"/>
      <c r="R11" s="1"/>
    </row>
    <row r="12" spans="1:18" ht="15.75" customHeight="1" x14ac:dyDescent="0.2">
      <c r="A12" s="1"/>
      <c r="B12" s="1"/>
      <c r="C12" s="22" t="s">
        <v>17</v>
      </c>
      <c r="D12" s="23"/>
      <c r="E12" s="21">
        <f>Jan!$R$6</f>
        <v>0</v>
      </c>
      <c r="F12" s="21">
        <f>Feb!$R$6</f>
        <v>0</v>
      </c>
      <c r="G12" s="21">
        <f>Mar!$R$6</f>
        <v>0</v>
      </c>
      <c r="H12" s="21">
        <f>Apr!$R$6</f>
        <v>0</v>
      </c>
      <c r="I12" s="21">
        <f>May!$R$6</f>
        <v>0</v>
      </c>
      <c r="J12" s="21">
        <f>Jun!$R$6</f>
        <v>0</v>
      </c>
      <c r="K12" s="21">
        <f>Jul!$R$6</f>
        <v>0</v>
      </c>
      <c r="L12" s="21">
        <f>Aug!$R$6</f>
        <v>0</v>
      </c>
      <c r="M12" s="21">
        <f>Sept!$R$6</f>
        <v>0</v>
      </c>
      <c r="N12" s="21">
        <f>Oct!$R$6</f>
        <v>0</v>
      </c>
      <c r="O12" s="21">
        <f>Nov!$R$6</f>
        <v>0</v>
      </c>
      <c r="P12" s="21">
        <f>Dec!$R$6</f>
        <v>0</v>
      </c>
      <c r="Q12" s="1"/>
      <c r="R12" s="1"/>
    </row>
    <row r="13" spans="1:18" ht="15.75" customHeight="1" x14ac:dyDescent="0.2">
      <c r="A13" s="1"/>
      <c r="B13" s="1"/>
      <c r="C13" s="24" t="s">
        <v>18</v>
      </c>
      <c r="D13" s="25"/>
      <c r="E13" s="21">
        <f>Jan!$R$7</f>
        <v>0</v>
      </c>
      <c r="F13" s="21">
        <f>Feb!$R$7</f>
        <v>0</v>
      </c>
      <c r="G13" s="21">
        <f>Mar!$R$7</f>
        <v>0</v>
      </c>
      <c r="H13" s="21">
        <f>Apr!$R$7</f>
        <v>0</v>
      </c>
      <c r="I13" s="21">
        <f>May!$R$7</f>
        <v>0</v>
      </c>
      <c r="J13" s="21">
        <f>Jun!$R$7</f>
        <v>0</v>
      </c>
      <c r="K13" s="21">
        <f>Jul!$R$7</f>
        <v>0</v>
      </c>
      <c r="L13" s="21">
        <f>Aug!$R$7</f>
        <v>0</v>
      </c>
      <c r="M13" s="21">
        <f>Sept!$R$7</f>
        <v>0</v>
      </c>
      <c r="N13" s="21">
        <f>Oct!$R$7</f>
        <v>0</v>
      </c>
      <c r="O13" s="21">
        <f>Nov!$R$7</f>
        <v>0</v>
      </c>
      <c r="P13" s="21">
        <f>Dec!$R$7</f>
        <v>0</v>
      </c>
      <c r="Q13" s="1"/>
      <c r="R13" s="1"/>
    </row>
    <row r="14" spans="1:18" ht="15.75" customHeight="1" x14ac:dyDescent="0.2">
      <c r="A14" s="1"/>
      <c r="B14" s="1"/>
      <c r="C14" s="24" t="s">
        <v>19</v>
      </c>
      <c r="D14" s="25"/>
      <c r="E14" s="21">
        <f>Jan!$R$8</f>
        <v>0</v>
      </c>
      <c r="F14" s="21">
        <f>Feb!$R$8</f>
        <v>0</v>
      </c>
      <c r="G14" s="21">
        <f>Mar!$R$8</f>
        <v>0</v>
      </c>
      <c r="H14" s="21">
        <f>Apr!$R$8</f>
        <v>0</v>
      </c>
      <c r="I14" s="21">
        <f>May!$R$8</f>
        <v>0</v>
      </c>
      <c r="J14" s="21">
        <f>Jun!$R$8</f>
        <v>0</v>
      </c>
      <c r="K14" s="21">
        <f>Jul!$R$8</f>
        <v>0</v>
      </c>
      <c r="L14" s="21">
        <f>Aug!$R$8</f>
        <v>0</v>
      </c>
      <c r="M14" s="21">
        <f>Sept!$R$8</f>
        <v>0</v>
      </c>
      <c r="N14" s="21">
        <f>Oct!$R$8</f>
        <v>0</v>
      </c>
      <c r="O14" s="21">
        <f>Nov!$R$8</f>
        <v>0</v>
      </c>
      <c r="P14" s="21">
        <f>Dec!$R$8</f>
        <v>0</v>
      </c>
      <c r="Q14" s="1"/>
      <c r="R14" s="1"/>
    </row>
    <row r="15" spans="1:18" ht="15.75" customHeight="1" x14ac:dyDescent="0.2">
      <c r="A15" s="1"/>
      <c r="B15" s="1"/>
      <c r="C15" s="24" t="s">
        <v>20</v>
      </c>
      <c r="D15" s="25"/>
      <c r="E15" s="21">
        <f>Jan!$R$9</f>
        <v>0</v>
      </c>
      <c r="F15" s="21">
        <f>Feb!$R$9</f>
        <v>0</v>
      </c>
      <c r="G15" s="21">
        <f>Mar!$R$9</f>
        <v>0</v>
      </c>
      <c r="H15" s="21">
        <f>Apr!$R$9</f>
        <v>0</v>
      </c>
      <c r="I15" s="21">
        <f>May!$R$9</f>
        <v>0</v>
      </c>
      <c r="J15" s="21">
        <f>Jun!$R$9</f>
        <v>0</v>
      </c>
      <c r="K15" s="21">
        <f>Jul!$R$9</f>
        <v>0</v>
      </c>
      <c r="L15" s="21">
        <f>Aug!$R$9</f>
        <v>0</v>
      </c>
      <c r="M15" s="21">
        <f>Sept!$R$9</f>
        <v>0</v>
      </c>
      <c r="N15" s="21">
        <f>Oct!$R$9</f>
        <v>0</v>
      </c>
      <c r="O15" s="21">
        <f>Nov!$R$9</f>
        <v>0</v>
      </c>
      <c r="P15" s="21">
        <f>Dec!$R$9</f>
        <v>0</v>
      </c>
      <c r="Q15" s="1"/>
      <c r="R15" s="1"/>
    </row>
    <row r="16" spans="1:18" ht="15.75" customHeight="1" x14ac:dyDescent="0.2">
      <c r="A16" s="1"/>
      <c r="B16" s="1"/>
      <c r="C16" s="24" t="s">
        <v>21</v>
      </c>
      <c r="D16" s="25"/>
      <c r="E16" s="21">
        <f>Jan!$F$6</f>
        <v>0</v>
      </c>
      <c r="F16" s="21">
        <f>Feb!$F$6</f>
        <v>0</v>
      </c>
      <c r="G16" s="21">
        <f>Mar!$F$6</f>
        <v>0</v>
      </c>
      <c r="H16" s="21">
        <f>Apr!$F$6</f>
        <v>0</v>
      </c>
      <c r="I16" s="21">
        <f>May!$F$6</f>
        <v>0</v>
      </c>
      <c r="J16" s="21">
        <f>Jun!$F$6</f>
        <v>0</v>
      </c>
      <c r="K16" s="21">
        <f>Jul!$F$6</f>
        <v>0</v>
      </c>
      <c r="L16" s="21">
        <f>Aug!$F$6</f>
        <v>0</v>
      </c>
      <c r="M16" s="21">
        <f>Sept!$F$6</f>
        <v>0</v>
      </c>
      <c r="N16" s="21">
        <f>Oct!$F$6</f>
        <v>0</v>
      </c>
      <c r="O16" s="21">
        <f>Nov!$F$6</f>
        <v>0</v>
      </c>
      <c r="P16" s="21">
        <f>Dec!$F$6</f>
        <v>0</v>
      </c>
      <c r="Q16" s="1"/>
      <c r="R16" s="1"/>
    </row>
    <row r="17" spans="1:18" ht="15.75" customHeight="1" thickBot="1" x14ac:dyDescent="0.25">
      <c r="A17" s="1"/>
      <c r="B17" s="1"/>
      <c r="C17" s="26" t="s">
        <v>22</v>
      </c>
      <c r="D17" s="27"/>
      <c r="E17" s="28">
        <f>Jan!$H$6</f>
        <v>0</v>
      </c>
      <c r="F17" s="28">
        <f>Feb!$H$6</f>
        <v>0</v>
      </c>
      <c r="G17" s="28">
        <f>Mar!$H$6</f>
        <v>0</v>
      </c>
      <c r="H17" s="28">
        <f>Apr!$H$6</f>
        <v>0</v>
      </c>
      <c r="I17" s="28">
        <f>May!$H$6</f>
        <v>0</v>
      </c>
      <c r="J17" s="28">
        <f>Jun!$H$6</f>
        <v>0</v>
      </c>
      <c r="K17" s="28">
        <f>Jul!$H$6</f>
        <v>0</v>
      </c>
      <c r="L17" s="28">
        <f>Aug!$H$6</f>
        <v>0</v>
      </c>
      <c r="M17" s="28">
        <f>Sept!$H$6</f>
        <v>0</v>
      </c>
      <c r="N17" s="28">
        <f>Oct!$H$6</f>
        <v>0</v>
      </c>
      <c r="O17" s="28">
        <f>Nov!$H$6</f>
        <v>0</v>
      </c>
      <c r="P17" s="28">
        <f>Dec!$H$6</f>
        <v>0</v>
      </c>
      <c r="Q17" s="1"/>
      <c r="R17" s="1"/>
    </row>
    <row r="18" spans="1:18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" customHeight="1" x14ac:dyDescent="0.2">
      <c r="A19" s="1"/>
      <c r="B19" s="1"/>
      <c r="C19" s="1"/>
      <c r="D19" s="1"/>
      <c r="E19" s="1" t="s">
        <v>23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3" customHeight="1" thickBot="1" x14ac:dyDescent="0.25">
      <c r="A20" s="1"/>
      <c r="B20" s="1"/>
      <c r="C20" s="29" t="s">
        <v>24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5.75" customHeight="1" thickBot="1" x14ac:dyDescent="0.25">
      <c r="A21" s="1"/>
      <c r="B21" s="1"/>
      <c r="C21" s="30" t="s">
        <v>25</v>
      </c>
      <c r="D21" s="31"/>
      <c r="E21" s="32" t="s">
        <v>26</v>
      </c>
      <c r="F21" s="33" t="s">
        <v>27</v>
      </c>
      <c r="G21" s="33" t="s">
        <v>6</v>
      </c>
      <c r="H21" s="33" t="s">
        <v>7</v>
      </c>
      <c r="I21" s="33" t="s">
        <v>8</v>
      </c>
      <c r="J21" s="33" t="s">
        <v>9</v>
      </c>
      <c r="K21" s="33" t="s">
        <v>10</v>
      </c>
      <c r="L21" s="33" t="s">
        <v>11</v>
      </c>
      <c r="M21" s="33" t="s">
        <v>12</v>
      </c>
      <c r="N21" s="33" t="s">
        <v>13</v>
      </c>
      <c r="O21" s="33" t="s">
        <v>14</v>
      </c>
      <c r="P21" s="33" t="s">
        <v>15</v>
      </c>
      <c r="Q21" s="33" t="s">
        <v>28</v>
      </c>
      <c r="R21" s="33" t="s">
        <v>29</v>
      </c>
    </row>
    <row r="22" spans="1:18" ht="15.75" customHeight="1" x14ac:dyDescent="0.2">
      <c r="A22" s="1"/>
      <c r="C22" s="34" t="s">
        <v>30</v>
      </c>
      <c r="D22" s="35"/>
      <c r="E22" s="21">
        <f>Jan!$O$14</f>
        <v>0</v>
      </c>
      <c r="F22" s="21">
        <f>Feb!$O$14</f>
        <v>0</v>
      </c>
      <c r="G22" s="21">
        <f>Mar!$O$14</f>
        <v>0</v>
      </c>
      <c r="H22" s="21">
        <f>Apr!$O$14</f>
        <v>0</v>
      </c>
      <c r="I22" s="21">
        <f>May!$O$14</f>
        <v>0</v>
      </c>
      <c r="J22" s="21">
        <f>Jun!$O$14</f>
        <v>0</v>
      </c>
      <c r="K22" s="21">
        <f>Jul!$O$14</f>
        <v>0</v>
      </c>
      <c r="L22" s="21">
        <f>Aug!$O$14</f>
        <v>0</v>
      </c>
      <c r="M22" s="21">
        <f>Sept!$O$14</f>
        <v>0</v>
      </c>
      <c r="N22" s="21">
        <f>Oct!$O$14</f>
        <v>0</v>
      </c>
      <c r="O22" s="21">
        <f>Nov!$O$14</f>
        <v>0</v>
      </c>
      <c r="P22" s="21">
        <f>Dec!$O$14</f>
        <v>0</v>
      </c>
      <c r="Q22" s="36">
        <f t="shared" ref="Q22:Q29" si="0">IFERROR(AVERAGEIF(E22:P22,"&lt;&gt;0"),0)</f>
        <v>0</v>
      </c>
      <c r="R22" s="37">
        <f t="shared" ref="R22:R29" si="1">SUM(E22:P22)</f>
        <v>0</v>
      </c>
    </row>
    <row r="23" spans="1:18" ht="15.75" customHeight="1" x14ac:dyDescent="0.2">
      <c r="A23" s="1"/>
      <c r="C23" s="38" t="s">
        <v>31</v>
      </c>
      <c r="D23" s="39"/>
      <c r="E23" s="21">
        <f>Jan!$O$15</f>
        <v>0</v>
      </c>
      <c r="F23" s="21">
        <f>Feb!$O$15</f>
        <v>0</v>
      </c>
      <c r="G23" s="21">
        <f>Mar!$O$15</f>
        <v>0</v>
      </c>
      <c r="H23" s="21">
        <f>Apr!$O$15</f>
        <v>0</v>
      </c>
      <c r="I23" s="21">
        <f>May!$O$15</f>
        <v>0</v>
      </c>
      <c r="J23" s="21">
        <f>Jun!$O$15</f>
        <v>0</v>
      </c>
      <c r="K23" s="21">
        <f>Jul!$O$15</f>
        <v>0</v>
      </c>
      <c r="L23" s="21">
        <f>Aug!$O$15</f>
        <v>0</v>
      </c>
      <c r="M23" s="21">
        <f>Sept!$O$15</f>
        <v>0</v>
      </c>
      <c r="N23" s="21">
        <f>Oct!$O$15</f>
        <v>0</v>
      </c>
      <c r="O23" s="21">
        <f>Nov!$O$15</f>
        <v>0</v>
      </c>
      <c r="P23" s="21">
        <f>Dec!$O$15</f>
        <v>0</v>
      </c>
      <c r="Q23" s="36">
        <f t="shared" si="0"/>
        <v>0</v>
      </c>
      <c r="R23" s="37">
        <f t="shared" si="1"/>
        <v>0</v>
      </c>
    </row>
    <row r="24" spans="1:18" ht="15.75" customHeight="1" x14ac:dyDescent="0.2">
      <c r="A24" s="1"/>
      <c r="C24" s="38" t="s">
        <v>32</v>
      </c>
      <c r="D24" s="39"/>
      <c r="E24" s="21">
        <f>Jan!$O$16</f>
        <v>0</v>
      </c>
      <c r="F24" s="21">
        <f>Feb!$O$16</f>
        <v>0</v>
      </c>
      <c r="G24" s="21">
        <f>Mar!$O$16</f>
        <v>0</v>
      </c>
      <c r="H24" s="21">
        <f>Apr!$O$16</f>
        <v>0</v>
      </c>
      <c r="I24" s="21">
        <f>May!$O$16</f>
        <v>0</v>
      </c>
      <c r="J24" s="21">
        <f>Jun!$O$16</f>
        <v>0</v>
      </c>
      <c r="K24" s="21">
        <f>Jul!$O$16</f>
        <v>0</v>
      </c>
      <c r="L24" s="21">
        <f>Aug!$O$16</f>
        <v>0</v>
      </c>
      <c r="M24" s="21">
        <f>Sept!$O$16</f>
        <v>0</v>
      </c>
      <c r="N24" s="21">
        <f>Oct!$O$16</f>
        <v>0</v>
      </c>
      <c r="O24" s="21">
        <f>Nov!$O$16</f>
        <v>0</v>
      </c>
      <c r="P24" s="21">
        <f>Dec!$O$16</f>
        <v>0</v>
      </c>
      <c r="Q24" s="36">
        <f t="shared" si="0"/>
        <v>0</v>
      </c>
      <c r="R24" s="37">
        <f t="shared" si="1"/>
        <v>0</v>
      </c>
    </row>
    <row r="25" spans="1:18" ht="15.75" customHeight="1" x14ac:dyDescent="0.2">
      <c r="A25" s="1"/>
      <c r="C25" s="38" t="s">
        <v>33</v>
      </c>
      <c r="D25" s="39"/>
      <c r="E25" s="21">
        <f>Jan!$O$17</f>
        <v>0</v>
      </c>
      <c r="F25" s="21">
        <f>Feb!$O$17</f>
        <v>0</v>
      </c>
      <c r="G25" s="21">
        <f>Mar!$O$17</f>
        <v>0</v>
      </c>
      <c r="H25" s="21">
        <f>Apr!$O$17</f>
        <v>0</v>
      </c>
      <c r="I25" s="21">
        <f>May!$O$17</f>
        <v>0</v>
      </c>
      <c r="J25" s="21">
        <f>Jun!$O$17</f>
        <v>0</v>
      </c>
      <c r="K25" s="21">
        <f>Jul!$O$17</f>
        <v>0</v>
      </c>
      <c r="L25" s="21">
        <f>Aug!$O$17</f>
        <v>0</v>
      </c>
      <c r="M25" s="21">
        <f>Sept!$O$17</f>
        <v>0</v>
      </c>
      <c r="N25" s="21">
        <f>Oct!$O$17</f>
        <v>0</v>
      </c>
      <c r="O25" s="21">
        <f>Nov!$O$17</f>
        <v>0</v>
      </c>
      <c r="P25" s="21">
        <f>Dec!$O$17</f>
        <v>0</v>
      </c>
      <c r="Q25" s="36">
        <f t="shared" si="0"/>
        <v>0</v>
      </c>
      <c r="R25" s="37">
        <f t="shared" si="1"/>
        <v>0</v>
      </c>
    </row>
    <row r="26" spans="1:18" ht="15.75" customHeight="1" x14ac:dyDescent="0.2">
      <c r="A26" s="1"/>
      <c r="C26" s="38" t="s">
        <v>34</v>
      </c>
      <c r="D26" s="39"/>
      <c r="E26" s="21">
        <f>Jan!$O$18</f>
        <v>0</v>
      </c>
      <c r="F26" s="21">
        <f>Feb!$O$18</f>
        <v>0</v>
      </c>
      <c r="G26" s="21">
        <f>Mar!$O$18</f>
        <v>0</v>
      </c>
      <c r="H26" s="21">
        <f>Apr!$O$18</f>
        <v>0</v>
      </c>
      <c r="I26" s="21">
        <f>May!$O$18</f>
        <v>0</v>
      </c>
      <c r="J26" s="21">
        <f>Jun!$O$18</f>
        <v>0</v>
      </c>
      <c r="K26" s="21">
        <f>Jul!$O$18</f>
        <v>0</v>
      </c>
      <c r="L26" s="21">
        <f>Aug!$O$18</f>
        <v>0</v>
      </c>
      <c r="M26" s="21">
        <f>Sept!$O$18</f>
        <v>0</v>
      </c>
      <c r="N26" s="21">
        <f>Oct!$O$18</f>
        <v>0</v>
      </c>
      <c r="O26" s="21">
        <f>Nov!$O$18</f>
        <v>0</v>
      </c>
      <c r="P26" s="21">
        <f>Dec!$O$18</f>
        <v>0</v>
      </c>
      <c r="Q26" s="36">
        <f t="shared" si="0"/>
        <v>0</v>
      </c>
      <c r="R26" s="37">
        <f t="shared" si="1"/>
        <v>0</v>
      </c>
    </row>
    <row r="27" spans="1:18" ht="15.75" customHeight="1" x14ac:dyDescent="0.2">
      <c r="A27" s="1"/>
      <c r="C27" s="38" t="s">
        <v>35</v>
      </c>
      <c r="D27" s="39"/>
      <c r="E27" s="21">
        <f>Jan!$O$19</f>
        <v>0</v>
      </c>
      <c r="F27" s="21">
        <f>Feb!$O$19</f>
        <v>0</v>
      </c>
      <c r="G27" s="21">
        <f>Mar!$O$19</f>
        <v>0</v>
      </c>
      <c r="H27" s="21">
        <f>Apr!$O$19</f>
        <v>0</v>
      </c>
      <c r="I27" s="21">
        <f>May!$O$19</f>
        <v>0</v>
      </c>
      <c r="J27" s="21">
        <f>Jun!$O$19</f>
        <v>0</v>
      </c>
      <c r="K27" s="21">
        <f>Jul!$O$19</f>
        <v>0</v>
      </c>
      <c r="L27" s="21">
        <f>Aug!$O$19</f>
        <v>0</v>
      </c>
      <c r="M27" s="21">
        <f>Sept!$O$19</f>
        <v>0</v>
      </c>
      <c r="N27" s="21">
        <f>Oct!$O$19</f>
        <v>0</v>
      </c>
      <c r="O27" s="21">
        <f>Nov!$O$19</f>
        <v>0</v>
      </c>
      <c r="P27" s="21">
        <f>Dec!$O$19</f>
        <v>0</v>
      </c>
      <c r="Q27" s="36">
        <f t="shared" si="0"/>
        <v>0</v>
      </c>
      <c r="R27" s="37">
        <f t="shared" si="1"/>
        <v>0</v>
      </c>
    </row>
    <row r="28" spans="1:18" ht="15.75" customHeight="1" x14ac:dyDescent="0.2">
      <c r="A28" s="1"/>
      <c r="C28" s="38" t="s">
        <v>36</v>
      </c>
      <c r="D28" s="39"/>
      <c r="E28" s="21">
        <f>Jan!$O$20</f>
        <v>0</v>
      </c>
      <c r="F28" s="21">
        <f>Feb!$O$20</f>
        <v>0</v>
      </c>
      <c r="G28" s="21">
        <f>Mar!$O$20</f>
        <v>0</v>
      </c>
      <c r="H28" s="21">
        <f>Apr!$O$20</f>
        <v>0</v>
      </c>
      <c r="I28" s="21">
        <f>May!$O$20</f>
        <v>0</v>
      </c>
      <c r="J28" s="21">
        <f>Jun!$O$20</f>
        <v>0</v>
      </c>
      <c r="K28" s="21">
        <f>Jul!$O$20</f>
        <v>0</v>
      </c>
      <c r="L28" s="21">
        <f>Aug!$O$20</f>
        <v>0</v>
      </c>
      <c r="M28" s="21">
        <f>Sept!$O$20</f>
        <v>0</v>
      </c>
      <c r="N28" s="21">
        <f>Oct!$O$20</f>
        <v>0</v>
      </c>
      <c r="O28" s="21">
        <f>Nov!$O$20</f>
        <v>0</v>
      </c>
      <c r="P28" s="21">
        <f>Dec!$O$20</f>
        <v>0</v>
      </c>
      <c r="Q28" s="36">
        <f t="shared" si="0"/>
        <v>0</v>
      </c>
      <c r="R28" s="37">
        <f t="shared" si="1"/>
        <v>0</v>
      </c>
    </row>
    <row r="29" spans="1:18" ht="15.75" customHeight="1" thickBot="1" x14ac:dyDescent="0.25">
      <c r="C29" s="40" t="s">
        <v>37</v>
      </c>
      <c r="D29" s="41"/>
      <c r="E29" s="21">
        <f>Jan!$O$21</f>
        <v>0</v>
      </c>
      <c r="F29" s="21">
        <f>Feb!$O$21</f>
        <v>0</v>
      </c>
      <c r="G29" s="21">
        <f>Mar!$O$21</f>
        <v>0</v>
      </c>
      <c r="H29" s="21">
        <f>Apr!$O$21</f>
        <v>0</v>
      </c>
      <c r="I29" s="21">
        <f>May!$O$21</f>
        <v>0</v>
      </c>
      <c r="J29" s="21">
        <f>Jun!$O$21</f>
        <v>0</v>
      </c>
      <c r="K29" s="21">
        <f>Jul!$O$21</f>
        <v>0</v>
      </c>
      <c r="L29" s="21">
        <f>Aug!$O$21</f>
        <v>0</v>
      </c>
      <c r="M29" s="21">
        <f>Sept!$O$21</f>
        <v>0</v>
      </c>
      <c r="N29" s="21">
        <f>Oct!$O$21</f>
        <v>0</v>
      </c>
      <c r="O29" s="21">
        <f>Nov!$O$21</f>
        <v>0</v>
      </c>
      <c r="P29" s="21">
        <f>Dec!$O$21</f>
        <v>0</v>
      </c>
      <c r="Q29" s="36">
        <f t="shared" si="0"/>
        <v>0</v>
      </c>
      <c r="R29" s="37">
        <f t="shared" si="1"/>
        <v>0</v>
      </c>
    </row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C24:D24"/>
    <mergeCell ref="C25:D25"/>
    <mergeCell ref="C26:D26"/>
    <mergeCell ref="C27:D27"/>
    <mergeCell ref="C28:D28"/>
    <mergeCell ref="C29:D29"/>
    <mergeCell ref="C16:D16"/>
    <mergeCell ref="C17:D17"/>
    <mergeCell ref="C20:R20"/>
    <mergeCell ref="C21:D21"/>
    <mergeCell ref="C22:D22"/>
    <mergeCell ref="C23:D23"/>
    <mergeCell ref="C10:D10"/>
    <mergeCell ref="C11:D11"/>
    <mergeCell ref="C12:D12"/>
    <mergeCell ref="C13:D13"/>
    <mergeCell ref="C14:D14"/>
    <mergeCell ref="C15:D15"/>
    <mergeCell ref="C2:R4"/>
    <mergeCell ref="C6:D6"/>
    <mergeCell ref="F6:G6"/>
    <mergeCell ref="I6:J6"/>
    <mergeCell ref="L6:M6"/>
    <mergeCell ref="C7:D7"/>
    <mergeCell ref="F7:G7"/>
    <mergeCell ref="I7:J7"/>
    <mergeCell ref="L7:M7"/>
  </mergeCells>
  <conditionalFormatting sqref="E8:P8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E22:P28">
    <cfRule type="colorScale" priority="7">
      <colorScale>
        <cfvo type="min"/>
        <cfvo type="max"/>
        <color rgb="FFFFFFFF"/>
        <color rgb="FFE06666"/>
      </colorScale>
    </cfRule>
  </conditionalFormatting>
  <conditionalFormatting sqref="E22:P29">
    <cfRule type="colorScale" priority="8">
      <colorScale>
        <cfvo type="min"/>
        <cfvo type="max"/>
        <color rgb="FFFFFFFF"/>
        <color rgb="FFE06666"/>
      </colorScale>
    </cfRule>
  </conditionalFormatting>
  <conditionalFormatting sqref="E16:P16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05F9-2530-AC4F-96BF-277BEED839A0}">
  <dimension ref="A1:AG72"/>
  <sheetViews>
    <sheetView showGridLines="0" zoomScale="75" zoomScaleNormal="100" workbookViewId="0">
      <pane ySplit="1" topLeftCell="A2" activePane="bottomLeft" state="frozen"/>
      <selection pane="bottomLeft" activeCell="X18" sqref="X1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COUNTIF(BillsTbl_MonthlySpendingTemplate596[Paid?],TRUE())&amp;" / "&amp;COUNTA(BillsTbl_MonthlySpendingTemplate596[Bill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SUMIFS(BillsTbl_MonthlySpendingTemplate596[Actual],BillsTbl_MonthlySpendingTemplate596[Category],"Subscriptions")+SUMIFS(K14:K72,J14:J72,"Subscriptions")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SUMIFS(BillsTbl_MonthlySpendingTemplate596[Actual],BillsTbl_MonthlySpendingTemplate596[Category],"Gas")+SUMIFS(K14:K72,J14:J72,"Gas")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SUMIFS(BillsTbl_MonthlySpendingTemplate596[Actual],BillsTbl_MonthlySpendingTemplate596[Category],"Other")+SUMIFS(K14:K72,J14:J72,"Other")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SUMIFS(BillsTbl_MonthlySpendingTemplate596[Actual],BillsTbl_MonthlySpendingTemplate596[Category],"Groceries")+SUMIFS(K14:K72,J14:J72,"Groceries")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SUMIFS(BillsTbl_MonthlySpendingTemplate596[Actual],BillsTbl_MonthlySpendingTemplate596[Category],"Dining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SUMIFS(BillsTbl_MonthlySpendingTemplate596[Actual],BillsTbl_MonthlySpendingTemplate596[Category],"Rent")+SUMIFS(K14:K72,J14:J72,"Rent")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SUMIFS(BillsTbl_MonthlySpendingTemplate596[Actual],BillsTbl_MonthlySpendingTemplate596[Category],"Shopping")+SUMIFS(K14:K72,J14:J72,"Shopping")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SUMIFS(BillsTbl_MonthlySpendingTemplate596[Actual],BillsTbl_MonthlySpendingTemplate596[Category],"Credit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13815ECE-0548-3B44-B74D-053161BED829}">
      <formula1>"Subscriptions,Gas,Other,Groceries,Dining out,Rent,Shopping,Credit Card"</formula1>
      <formula2>0</formula2>
    </dataValidation>
    <dataValidation type="list" allowBlank="1" sqref="E23:E34" xr:uid="{7E4088D8-5978-BB40-B8B9-8A5C707BE392}">
      <formula1>"TRUE,FALSE"</formula1>
      <formula2>0</formula2>
    </dataValidation>
    <dataValidation type="list" allowBlank="1" showInputMessage="1" showErrorMessage="1" sqref="N5" xr:uid="{2E705D8D-0543-FA41-831E-FF9BF70E96B1}">
      <formula1>$O$5:$O$6</formula1>
    </dataValidation>
    <dataValidation type="list" allowBlank="1" showInputMessage="1" showErrorMessage="1" sqref="E14:E18" xr:uid="{73D70EAB-27DF-C34E-BCCC-2673C67B8F1C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A12D-8EB3-A544-B110-393CCEC5104D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COUNTIF(BillsTbl_MonthlySpendingTemplate5969[Paid?],TRUE())&amp;" / "&amp;COUNTA(BillsTbl_MonthlySpendingTemplate5969[Bill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SUMIFS(BillsTbl_MonthlySpendingTemplate5969[Actual],BillsTbl_MonthlySpendingTemplate5969[Category],"Subscriptions")+SUMIFS(K14:K72,J14:J72,"Subscriptions")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SUMIFS(BillsTbl_MonthlySpendingTemplate5969[Actual],BillsTbl_MonthlySpendingTemplate5969[Category],"Gas")+SUMIFS(K14:K72,J14:J72,"Gas")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SUMIFS(BillsTbl_MonthlySpendingTemplate5969[Actual],BillsTbl_MonthlySpendingTemplate5969[Category],"Other")+SUMIFS(K14:K72,J14:J72,"Other")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SUMIFS(BillsTbl_MonthlySpendingTemplate5969[Actual],BillsTbl_MonthlySpendingTemplate5969[Category],"Groceries")+SUMIFS(K14:K72,J14:J72,"Groceries")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SUMIFS(BillsTbl_MonthlySpendingTemplate5969[Actual],BillsTbl_MonthlySpendingTemplate5969[Category],"Dining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SUMIFS(BillsTbl_MonthlySpendingTemplate5969[Actual],BillsTbl_MonthlySpendingTemplate5969[Category],"Rent")+SUMIFS(K14:K72,J14:J72,"Rent")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SUMIFS(BillsTbl_MonthlySpendingTemplate5969[Actual],BillsTbl_MonthlySpendingTemplate5969[Category],"Shopping")+SUMIFS(K14:K72,J14:J72,"Shopping")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SUMIFS(BillsTbl_MonthlySpendingTemplate5969[Actual],BillsTbl_MonthlySpendingTemplate5969[Category],"Credit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C7F1F96B-DA2E-CA4C-95E5-FE822A158B51}">
      <formula1>$C$37:$C$40</formula1>
    </dataValidation>
    <dataValidation type="list" allowBlank="1" showInputMessage="1" showErrorMessage="1" sqref="N5" xr:uid="{48083179-A5D3-D347-9EE6-AECB56A48CFC}">
      <formula1>$O$5:$O$6</formula1>
    </dataValidation>
    <dataValidation type="list" allowBlank="1" sqref="E23:E34" xr:uid="{4BC6F60D-2F83-4B40-BF33-9FF92B89B588}">
      <formula1>"TRUE,FALSE"</formula1>
      <formula2>0</formula2>
    </dataValidation>
    <dataValidation type="list" allowBlank="1" sqref="C23:C34 J14:J72" xr:uid="{0CB9CBA7-3BAD-3549-A3CF-30BA6542F0BF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164D-67BC-CD4F-908D-A6B9497E35B5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COUNTIF(BillsTbl_MonthlySpendingTemplate596912[Paid?],TRUE())&amp;" / "&amp;COUNTA(BillsTbl_MonthlySpendingTemplate596912[Bill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SUMIFS(BillsTbl_MonthlySpendingTemplate596912[Actual],BillsTbl_MonthlySpendingTemplate596912[Category],"Subscriptions")+SUMIFS(K14:K72,J14:J72,"Subscriptions")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SUMIFS(BillsTbl_MonthlySpendingTemplate596912[Actual],BillsTbl_MonthlySpendingTemplate596912[Category],"Gas")+SUMIFS(K14:K72,J14:J72,"Gas")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SUMIFS(BillsTbl_MonthlySpendingTemplate596912[Actual],BillsTbl_MonthlySpendingTemplate596912[Category],"Other")+SUMIFS(K14:K72,J14:J72,"Other")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SUMIFS(BillsTbl_MonthlySpendingTemplate596912[Actual],BillsTbl_MonthlySpendingTemplate596912[Category],"Groceries")+SUMIFS(K14:K72,J14:J72,"Groceries")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SUMIFS(BillsTbl_MonthlySpendingTemplate596912[Actual],BillsTbl_MonthlySpendingTemplate596912[Category],"Dining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SUMIFS(BillsTbl_MonthlySpendingTemplate596912[Actual],BillsTbl_MonthlySpendingTemplate596912[Category],"Rent")+SUMIFS(K14:K72,J14:J72,"Rent")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SUMIFS(BillsTbl_MonthlySpendingTemplate596912[Actual],BillsTbl_MonthlySpendingTemplate596912[Category],"Shopping")+SUMIFS(K14:K72,J14:J72,"Shopping")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SUMIFS(BillsTbl_MonthlySpendingTemplate596912[Actual],BillsTbl_MonthlySpendingTemplate596912[Category],"Credit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15C6DC98-B37B-DA48-9336-FA1234179223}">
      <formula1>"Subscriptions,Gas,Other,Groceries,Dining out,Rent,Shopping,Credit Card"</formula1>
      <formula2>0</formula2>
    </dataValidation>
    <dataValidation type="list" allowBlank="1" sqref="E23:E34" xr:uid="{DB44D469-4230-884C-9D90-0AD7923C6515}">
      <formula1>"TRUE,FALSE"</formula1>
      <formula2>0</formula2>
    </dataValidation>
    <dataValidation type="list" allowBlank="1" showInputMessage="1" showErrorMessage="1" sqref="N5" xr:uid="{0AB6F4F7-8E18-9B47-8F0C-19358DA4DEDD}">
      <formula1>$O$5:$O$6</formula1>
    </dataValidation>
    <dataValidation type="list" allowBlank="1" showInputMessage="1" showErrorMessage="1" sqref="E14:E18" xr:uid="{969E1C5D-C3F9-B54D-930E-E2EBD0589D8C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84D9-B8C6-D748-BCF8-E20FED296751}">
  <dimension ref="A1:AG72"/>
  <sheetViews>
    <sheetView showGridLines="0" topLeftCell="B1" zoomScale="108" zoomScaleNormal="100" workbookViewId="0">
      <pane ySplit="1" topLeftCell="A2" activePane="bottomLeft" state="frozen"/>
      <selection pane="bottomLeft" activeCell="E14" sqref="E14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COUNTIF(BillsTbl_MonthlySpendingTemplate59691215[Paid?],TRUE())&amp;" / "&amp;COUNTA(BillsTbl_MonthlySpendingTemplate59691215[Bill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SUMIFS(BillsTbl_MonthlySpendingTemplate59691215[Actual],BillsTbl_MonthlySpendingTemplate59691215[Category],"Subscriptions")+SUMIFS(K14:K72,J14:J72,"Subscriptions")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SUMIFS(BillsTbl_MonthlySpendingTemplate59691215[Actual],BillsTbl_MonthlySpendingTemplate59691215[Category],"Gas")+SUMIFS(K14:K72,J14:J72,"Gas")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SUMIFS(BillsTbl_MonthlySpendingTemplate59691215[Actual],BillsTbl_MonthlySpendingTemplate59691215[Category],"Other")+SUMIFS(K14:K72,J14:J72,"Other")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SUMIFS(BillsTbl_MonthlySpendingTemplate59691215[Actual],BillsTbl_MonthlySpendingTemplate59691215[Category],"Groceries")+SUMIFS(K14:K72,J14:J72,"Groceries")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SUMIFS(BillsTbl_MonthlySpendingTemplate59691215[Actual],BillsTbl_MonthlySpendingTemplate59691215[Category],"Dining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SUMIFS(BillsTbl_MonthlySpendingTemplate59691215[Actual],BillsTbl_MonthlySpendingTemplate59691215[Category],"Rent")+SUMIFS(K14:K72,J14:J72,"Rent")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SUMIFS(BillsTbl_MonthlySpendingTemplate59691215[Actual],BillsTbl_MonthlySpendingTemplate59691215[Category],"Shopping")+SUMIFS(K14:K72,J14:J72,"Shopping")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SUMIFS(BillsTbl_MonthlySpendingTemplate59691215[Actual],BillsTbl_MonthlySpendingTemplate59691215[Category],"Credit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3B9F4520-6EBB-7747-BE3D-B5835FB3CF2C}">
      <formula1>$C$37:$C$40</formula1>
    </dataValidation>
    <dataValidation type="list" allowBlank="1" showInputMessage="1" showErrorMessage="1" sqref="N5" xr:uid="{CD2CA444-751A-6540-9C15-7523F042556C}">
      <formula1>$O$5:$O$6</formula1>
    </dataValidation>
    <dataValidation type="list" allowBlank="1" sqref="E23:E34" xr:uid="{8EF1DE4E-AF31-2641-87D9-0692938058E9}">
      <formula1>"TRUE,FALSE"</formula1>
      <formula2>0</formula2>
    </dataValidation>
    <dataValidation type="list" allowBlank="1" sqref="C23:C34 J14:J72" xr:uid="{FE131F0E-3B8A-AB4C-8626-8341C19F32A6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03C2-5CD5-864B-B600-6B61C9276A16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COUNTIF(BillsTbl_MonthlySpendingTemplate5969121518[Paid?],TRUE())&amp;" / "&amp;COUNTA(BillsTbl_MonthlySpendingTemplate5969121518[Bill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SUMIFS(BillsTbl_MonthlySpendingTemplate5969121518[Actual],BillsTbl_MonthlySpendingTemplate5969121518[Category],"Subscriptions")+SUMIFS(K14:K72,J14:J72,"Subscriptions")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SUMIFS(BillsTbl_MonthlySpendingTemplate5969121518[Actual],BillsTbl_MonthlySpendingTemplate5969121518[Category],"Gas")+SUMIFS(K14:K72,J14:J72,"Gas")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SUMIFS(BillsTbl_MonthlySpendingTemplate5969121518[Actual],BillsTbl_MonthlySpendingTemplate5969121518[Category],"Other")+SUMIFS(K14:K72,J14:J72,"Other")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SUMIFS(BillsTbl_MonthlySpendingTemplate5969121518[Actual],BillsTbl_MonthlySpendingTemplate5969121518[Category],"Groceries")+SUMIFS(K14:K72,J14:J72,"Groceries")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SUMIFS(BillsTbl_MonthlySpendingTemplate5969121518[Actual],BillsTbl_MonthlySpendingTemplate5969121518[Category],"Dining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SUMIFS(BillsTbl_MonthlySpendingTemplate5969121518[Actual],BillsTbl_MonthlySpendingTemplate5969121518[Category],"Rent")+SUMIFS(K14:K72,J14:J72,"Rent")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SUMIFS(BillsTbl_MonthlySpendingTemplate5969121518[Actual],BillsTbl_MonthlySpendingTemplate5969121518[Category],"Shopping")+SUMIFS(K14:K72,J14:J72,"Shopping")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SUMIFS(BillsTbl_MonthlySpendingTemplate5969121518[Actual],BillsTbl_MonthlySpendingTemplate5969121518[Category],"Credit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E8BC38FC-36EB-C04B-8101-8803730DF15E}">
      <formula1>"Subscriptions,Gas,Other,Groceries,Dining out,Rent,Shopping,Credit Card"</formula1>
      <formula2>0</formula2>
    </dataValidation>
    <dataValidation type="list" allowBlank="1" sqref="E23:E34" xr:uid="{40F1A2B7-2848-0147-A13B-AFD535C00E90}">
      <formula1>"TRUE,FALSE"</formula1>
      <formula2>0</formula2>
    </dataValidation>
    <dataValidation type="list" allowBlank="1" showInputMessage="1" showErrorMessage="1" sqref="N5" xr:uid="{08C528D9-1C08-654F-BDB9-EF68BDF08344}">
      <formula1>$O$5:$O$6</formula1>
    </dataValidation>
    <dataValidation type="list" allowBlank="1" showInputMessage="1" showErrorMessage="1" sqref="E14:E18" xr:uid="{08C9526D-4AC9-2F41-ACA5-0C2B36074A9F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38B4-2EE9-6442-9122-425EE99152CA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COUNTIF(BillsTbl_MonthlySpendingTemplate596912151821[Paid?],TRUE())&amp;" / "&amp;COUNTA(BillsTbl_MonthlySpendingTemplate596912151821[Bill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SUMIFS(BillsTbl_MonthlySpendingTemplate596912151821[Actual],BillsTbl_MonthlySpendingTemplate596912151821[Category],"Subscriptions")+SUMIFS(K14:K72,J14:J72,"Subscriptions")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SUMIFS(BillsTbl_MonthlySpendingTemplate596912151821[Actual],BillsTbl_MonthlySpendingTemplate596912151821[Category],"Gas")+SUMIFS(K14:K72,J14:J72,"Gas")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SUMIFS(BillsTbl_MonthlySpendingTemplate596912151821[Actual],BillsTbl_MonthlySpendingTemplate596912151821[Category],"Other")+SUMIFS(K14:K72,J14:J72,"Other")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SUMIFS(BillsTbl_MonthlySpendingTemplate596912151821[Actual],BillsTbl_MonthlySpendingTemplate596912151821[Category],"Groceries")+SUMIFS(K14:K72,J14:J72,"Groceries")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SUMIFS(BillsTbl_MonthlySpendingTemplate596912151821[Actual],BillsTbl_MonthlySpendingTemplate596912151821[Category],"Dining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SUMIFS(BillsTbl_MonthlySpendingTemplate596912151821[Actual],BillsTbl_MonthlySpendingTemplate596912151821[Category],"Rent")+SUMIFS(K14:K72,J14:J72,"Rent")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SUMIFS(BillsTbl_MonthlySpendingTemplate596912151821[Actual],BillsTbl_MonthlySpendingTemplate596912151821[Category],"Shopping")+SUMIFS(K14:K72,J14:J72,"Shopping")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SUMIFS(BillsTbl_MonthlySpendingTemplate596912151821[Actual],BillsTbl_MonthlySpendingTemplate596912151821[Category],"Credit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F00DB328-FE8A-A543-BCAC-27DFEAB566FE}">
      <formula1>$C$37:$C$40</formula1>
    </dataValidation>
    <dataValidation type="list" allowBlank="1" showInputMessage="1" showErrorMessage="1" sqref="N5" xr:uid="{F9D16806-DB3A-6E44-AAF9-28326461CE7B}">
      <formula1>$O$5:$O$6</formula1>
    </dataValidation>
    <dataValidation type="list" allowBlank="1" sqref="E23:E34" xr:uid="{E6FEBF32-29BE-9547-8E70-3BD0F092591C}">
      <formula1>"TRUE,FALSE"</formula1>
      <formula2>0</formula2>
    </dataValidation>
    <dataValidation type="list" allowBlank="1" sqref="C23:C34 J14:J72" xr:uid="{4D365A3A-8CC6-7945-ABF9-25844CF99B92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452B-B0AE-3642-AF3C-F533AEBF1C21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COUNTIF(BillsTbl_MonthlySpendingTemplate59691215182124[Paid?],TRUE())&amp;" / "&amp;COUNTA(BillsTbl_MonthlySpendingTemplate59691215182124[Bill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SUMIFS(BillsTbl_MonthlySpendingTemplate59691215182124[Actual],BillsTbl_MonthlySpendingTemplate59691215182124[Category],"Subscriptions")+SUMIFS(K14:K72,J14:J72,"Subscriptions")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SUMIFS(BillsTbl_MonthlySpendingTemplate59691215182124[Actual],BillsTbl_MonthlySpendingTemplate59691215182124[Category],"Gas")+SUMIFS(K14:K72,J14:J72,"Gas")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SUMIFS(BillsTbl_MonthlySpendingTemplate59691215182124[Actual],BillsTbl_MonthlySpendingTemplate59691215182124[Category],"Other")+SUMIFS(K14:K72,J14:J72,"Other")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SUMIFS(BillsTbl_MonthlySpendingTemplate59691215182124[Actual],BillsTbl_MonthlySpendingTemplate59691215182124[Category],"Groceries")+SUMIFS(K14:K72,J14:J72,"Groceries")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SUMIFS(BillsTbl_MonthlySpendingTemplate59691215182124[Actual],BillsTbl_MonthlySpendingTemplate59691215182124[Category],"Dining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SUMIFS(BillsTbl_MonthlySpendingTemplate59691215182124[Actual],BillsTbl_MonthlySpendingTemplate59691215182124[Category],"Rent")+SUMIFS(K14:K72,J14:J72,"Rent")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SUMIFS(BillsTbl_MonthlySpendingTemplate59691215182124[Actual],BillsTbl_MonthlySpendingTemplate59691215182124[Category],"Shopping")+SUMIFS(K14:K72,J14:J72,"Shopping")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SUMIFS(BillsTbl_MonthlySpendingTemplate59691215182124[Actual],BillsTbl_MonthlySpendingTemplate59691215182124[Category],"Credit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27364E68-F10D-4740-878D-3A8052B7A3FE}">
      <formula1>"Subscriptions,Gas,Other,Groceries,Dining out,Rent,Shopping,Credit Card"</formula1>
      <formula2>0</formula2>
    </dataValidation>
    <dataValidation type="list" allowBlank="1" sqref="E23:E34" xr:uid="{E7C150B2-3D40-324D-9D2E-A1E1873B14FB}">
      <formula1>"TRUE,FALSE"</formula1>
      <formula2>0</formula2>
    </dataValidation>
    <dataValidation type="list" allowBlank="1" showInputMessage="1" showErrorMessage="1" sqref="N5" xr:uid="{66073755-7535-4349-B55D-B1DEB144C499}">
      <formula1>$O$5:$O$6</formula1>
    </dataValidation>
    <dataValidation type="list" allowBlank="1" showInputMessage="1" showErrorMessage="1" sqref="E14:E18" xr:uid="{B414B784-AEA1-6944-8BE8-916B936FBC44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9826-6832-BF48-A5D3-0981EC1C99E0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SUM(IncomeTbl_MonthlySpendingTemplate5758111417202326[Amount])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COUNTIF(BillsTbl_MonthlySpendingTemplate5969121518212427[Paid?],TRUE())&amp;" / "&amp;COUNTA(BillsTbl_MonthlySpendingTemplate5969121518212427[Bill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SUM(SavingsTbl_MonthlySpendingTemplate60710131619222528[Amount])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SUMIFS(BillsTbl_MonthlySpendingTemplate5969121518212427[Actual],BillsTbl_MonthlySpendingTemplate5969121518212427[Category],"Subscriptions")+SUMIFS(K14:K72,J14:J72,"Subscriptions")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SUMIFS(BillsTbl_MonthlySpendingTemplate5969121518212427[Actual],BillsTbl_MonthlySpendingTemplate5969121518212427[Category],"Gas")+SUMIFS(K14:K72,J14:J72,"Gas")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SUMIFS(BillsTbl_MonthlySpendingTemplate5969121518212427[Actual],BillsTbl_MonthlySpendingTemplate5969121518212427[Category],"Other")+SUMIFS(K14:K72,J14:J72,"Other")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SUMIFS(BillsTbl_MonthlySpendingTemplate5969121518212427[Actual],BillsTbl_MonthlySpendingTemplate5969121518212427[Category],"Groceries")+SUMIFS(K14:K72,J14:J72,"Groceries")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SUMIFS(BillsTbl_MonthlySpendingTemplate5969121518212427[Actual],BillsTbl_MonthlySpendingTemplate5969121518212427[Category],"Dining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SUMIFS(BillsTbl_MonthlySpendingTemplate5969121518212427[Actual],BillsTbl_MonthlySpendingTemplate5969121518212427[Category],"Rent")+SUMIFS(K14:K72,J14:J72,"Rent")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SUMIFS(BillsTbl_MonthlySpendingTemplate5969121518212427[Actual],BillsTbl_MonthlySpendingTemplate5969121518212427[Category],"Shopping")+SUMIFS(K14:K72,J14:J72,"Shopping")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SUMIFS(BillsTbl_MonthlySpendingTemplate5969121518212427[Actual],BillsTbl_MonthlySpendingTemplate5969121518212427[Category],"Credit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5DF02564-1F66-C247-A62F-454C1636B384}">
      <formula1>$C$37:$C$40</formula1>
    </dataValidation>
    <dataValidation type="list" allowBlank="1" showInputMessage="1" showErrorMessage="1" sqref="N5" xr:uid="{58273FDE-A74E-D344-A6F7-37EA60E93F0E}">
      <formula1>$O$5:$O$6</formula1>
    </dataValidation>
    <dataValidation type="list" allowBlank="1" sqref="E23:E34" xr:uid="{9BD6E9B3-8370-AC41-ABB1-FF43F44BA2FB}">
      <formula1>"TRUE,FALSE"</formula1>
      <formula2>0</formula2>
    </dataValidation>
    <dataValidation type="list" allowBlank="1" sqref="C23:C34 J14:J72" xr:uid="{D6CE6EAC-AEF4-0C4C-A1ED-41E25D077859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85B7-A761-CD46-A159-30F8CF47C65E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SUM(IncomeTbl_MonthlySpendingTemplate575811141720232629[Amount])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COUNTIF(BillsTbl_MonthlySpendingTemplate596912151821242730[Paid?],TRUE())&amp;" / "&amp;COUNTA(BillsTbl_MonthlySpendingTemplate596912151821242730[Bill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SUM(SavingsTbl_MonthlySpendingTemplate6071013161922252831[Amount])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SUMIFS(BillsTbl_MonthlySpendingTemplate596912151821242730[Actual],BillsTbl_MonthlySpendingTemplate596912151821242730[Category],"Subscriptions")+SUMIFS(K14:K72,J14:J72,"Subscriptions")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SUMIFS(BillsTbl_MonthlySpendingTemplate596912151821242730[Actual],BillsTbl_MonthlySpendingTemplate596912151821242730[Category],"Gas")+SUMIFS(K14:K72,J14:J72,"Gas")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SUMIFS(BillsTbl_MonthlySpendingTemplate596912151821242730[Actual],BillsTbl_MonthlySpendingTemplate596912151821242730[Category],"Other")+SUMIFS(K14:K72,J14:J72,"Other")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SUMIFS(BillsTbl_MonthlySpendingTemplate596912151821242730[Actual],BillsTbl_MonthlySpendingTemplate596912151821242730[Category],"Groceries")+SUMIFS(K14:K72,J14:J72,"Groceries")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SUMIFS(BillsTbl_MonthlySpendingTemplate596912151821242730[Actual],BillsTbl_MonthlySpendingTemplate596912151821242730[Category],"Dining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SUMIFS(BillsTbl_MonthlySpendingTemplate596912151821242730[Actual],BillsTbl_MonthlySpendingTemplate596912151821242730[Category],"Rent")+SUMIFS(K14:K72,J14:J72,"Rent")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SUMIFS(BillsTbl_MonthlySpendingTemplate596912151821242730[Actual],BillsTbl_MonthlySpendingTemplate596912151821242730[Category],"Shopping")+SUMIFS(K14:K72,J14:J72,"Shopping")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SUMIFS(BillsTbl_MonthlySpendingTemplate596912151821242730[Actual],BillsTbl_MonthlySpendingTemplate596912151821242730[Category],"Credit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26A8A0B5-A412-E548-A1EC-DD6A1ADD9B0A}">
      <formula1>"Subscriptions,Gas,Other,Groceries,Dining out,Rent,Shopping,Credit Card"</formula1>
      <formula2>0</formula2>
    </dataValidation>
    <dataValidation type="list" allowBlank="1" sqref="E23:E34" xr:uid="{0ECF2201-C5DA-5E49-A2E1-F1D5289690A8}">
      <formula1>"TRUE,FALSE"</formula1>
      <formula2>0</formula2>
    </dataValidation>
    <dataValidation type="list" allowBlank="1" showInputMessage="1" showErrorMessage="1" sqref="N5" xr:uid="{73D3C563-BAF7-3645-A2A8-5C3BF36AEF1B}">
      <formula1>$O$5:$O$6</formula1>
    </dataValidation>
    <dataValidation type="list" allowBlank="1" showInputMessage="1" showErrorMessage="1" sqref="E14:E18" xr:uid="{6DB84764-ECED-F24D-8177-0A4D7EC07C4D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5544-5C42-5141-B81C-8BD5E1B71A45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SUM(IncomeTbl_MonthlySpendingTemplate57581114172023262932[Amount])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COUNTIF(BillsTbl_MonthlySpendingTemplate59691215182124273033[Paid?],TRUE())&amp;" / "&amp;COUNTA(BillsTbl_MonthlySpendingTemplate59691215182124273033[Bill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SUM(SavingsTbl_MonthlySpendingTemplate607101316192225283134[Amount])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SUMIFS(BillsTbl_MonthlySpendingTemplate59691215182124273033[Actual],BillsTbl_MonthlySpendingTemplate59691215182124273033[Category],"Subscriptions")+SUMIFS(K14:K72,J14:J72,"Subscriptions")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SUMIFS(BillsTbl_MonthlySpendingTemplate59691215182124273033[Actual],BillsTbl_MonthlySpendingTemplate59691215182124273033[Category],"Gas")+SUMIFS(K14:K72,J14:J72,"Gas")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SUMIFS(BillsTbl_MonthlySpendingTemplate59691215182124273033[Actual],BillsTbl_MonthlySpendingTemplate59691215182124273033[Category],"Other")+SUMIFS(K14:K72,J14:J72,"Other")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SUMIFS(BillsTbl_MonthlySpendingTemplate59691215182124273033[Actual],BillsTbl_MonthlySpendingTemplate59691215182124273033[Category],"Groceries")+SUMIFS(K14:K72,J14:J72,"Groceries")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SUMIFS(BillsTbl_MonthlySpendingTemplate59691215182124273033[Actual],BillsTbl_MonthlySpendingTemplate59691215182124273033[Category],"Dining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SUMIFS(BillsTbl_MonthlySpendingTemplate59691215182124273033[Actual],BillsTbl_MonthlySpendingTemplate59691215182124273033[Category],"Rent")+SUMIFS(K14:K72,J14:J72,"Rent")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SUMIFS(BillsTbl_MonthlySpendingTemplate59691215182124273033[Actual],BillsTbl_MonthlySpendingTemplate59691215182124273033[Category],"Shopping")+SUMIFS(K14:K72,J14:J72,"Shopping")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SUMIFS(BillsTbl_MonthlySpendingTemplate59691215182124273033[Actual],BillsTbl_MonthlySpendingTemplate59691215182124273033[Category],"Credit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FAE2D518-AFFA-7247-8EE0-981BB6465455}">
      <formula1>$C$37:$C$40</formula1>
    </dataValidation>
    <dataValidation type="list" allowBlank="1" showInputMessage="1" showErrorMessage="1" sqref="N5" xr:uid="{B09BEF3C-C945-DA4C-BAC9-DFBDE3C25E45}">
      <formula1>$O$5:$O$6</formula1>
    </dataValidation>
    <dataValidation type="list" allowBlank="1" sqref="E23:E34" xr:uid="{CB70F9EE-77DA-0243-894F-4D09F06D155F}">
      <formula1>"TRUE,FALSE"</formula1>
      <formula2>0</formula2>
    </dataValidation>
    <dataValidation type="list" allowBlank="1" sqref="C23:C34 J14:J72" xr:uid="{3C160EAB-9A5F-9545-B212-71337AC1D5AE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2377-0F19-1A48-82A1-35687F6492B2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SUM(IncomeTbl_MonthlySpendingTemplate5758111417202326293235[Amount])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COUNTIF(BillsTbl_MonthlySpendingTemplate5969121518212427303336[Paid?],TRUE())&amp;" / "&amp;COUNTA(BillsTbl_MonthlySpendingTemplate5969121518212427303336[Bill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SUM(SavingsTbl_MonthlySpendingTemplate60710131619222528313437[Amount])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SUMIFS(BillsTbl_MonthlySpendingTemplate5969121518212427303336[Actual],BillsTbl_MonthlySpendingTemplate5969121518212427303336[Category],"Subscriptions")+SUMIFS(K14:K72,J14:J72,"Subscriptions")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SUMIFS(BillsTbl_MonthlySpendingTemplate5969121518212427303336[Actual],BillsTbl_MonthlySpendingTemplate5969121518212427303336[Category],"Gas")+SUMIFS(K14:K72,J14:J72,"Gas")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SUMIFS(BillsTbl_MonthlySpendingTemplate5969121518212427303336[Actual],BillsTbl_MonthlySpendingTemplate5969121518212427303336[Category],"Other")+SUMIFS(K14:K72,J14:J72,"Other")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SUMIFS(BillsTbl_MonthlySpendingTemplate5969121518212427303336[Actual],BillsTbl_MonthlySpendingTemplate5969121518212427303336[Category],"Groceries")+SUMIFS(K14:K72,J14:J72,"Groceries")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SUMIFS(BillsTbl_MonthlySpendingTemplate5969121518212427303336[Actual],BillsTbl_MonthlySpendingTemplate5969121518212427303336[Category],"Dining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SUMIFS(BillsTbl_MonthlySpendingTemplate5969121518212427303336[Actual],BillsTbl_MonthlySpendingTemplate5969121518212427303336[Category],"Rent")+SUMIFS(K14:K72,J14:J72,"Rent")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SUMIFS(BillsTbl_MonthlySpendingTemplate5969121518212427303336[Actual],BillsTbl_MonthlySpendingTemplate5969121518212427303336[Category],"Shopping")+SUMIFS(K14:K72,J14:J72,"Shopping")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SUMIFS(BillsTbl_MonthlySpendingTemplate5969121518212427303336[Actual],BillsTbl_MonthlySpendingTemplate5969121518212427303336[Category],"Credit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A03467D5-D6DC-F243-BE94-C59D842DC8A5}">
      <formula1>"Subscriptions,Gas,Other,Groceries,Dining out,Rent,Shopping,Credit Card"</formula1>
      <formula2>0</formula2>
    </dataValidation>
    <dataValidation type="list" allowBlank="1" sqref="E23:E34" xr:uid="{8EA2C020-DD97-1941-BA86-D4E25110EEB4}">
      <formula1>"TRUE,FALSE"</formula1>
      <formula2>0</formula2>
    </dataValidation>
    <dataValidation type="list" allowBlank="1" showInputMessage="1" showErrorMessage="1" sqref="N5" xr:uid="{B30304C6-E151-0943-BB62-295444FADE9A}">
      <formula1>$O$5:$O$6</formula1>
    </dataValidation>
    <dataValidation type="list" allowBlank="1" showInputMessage="1" showErrorMessage="1" sqref="E14:E18" xr:uid="{413D6EEE-4B7A-2740-BE88-2FFE16E29153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1F6D-D890-8448-870E-7951EB672662}">
  <dimension ref="A1:AG72"/>
  <sheetViews>
    <sheetView showGridLines="0" zoomScale="108" zoomScaleNormal="100" workbookViewId="0">
      <pane ySplit="1" topLeftCell="A19" activePane="bottomLeft" state="frozen"/>
      <selection pane="bottomLeft" activeCell="F51" sqref="F51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42" t="s">
        <v>38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4"/>
    </row>
    <row r="2" spans="1:33" ht="19.5" customHeight="1" x14ac:dyDescent="0.2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7"/>
    </row>
    <row r="3" spans="1:33" ht="19.5" customHeight="1" thickBo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</row>
    <row r="4" spans="1:33" ht="5" customHeight="1" thickBot="1" x14ac:dyDescent="0.25"/>
    <row r="5" spans="1:33" ht="27" customHeight="1" x14ac:dyDescent="0.2">
      <c r="B5" s="51" t="s">
        <v>16</v>
      </c>
      <c r="C5" s="52"/>
      <c r="D5" s="52" t="s">
        <v>39</v>
      </c>
      <c r="E5" s="52"/>
      <c r="F5" s="52" t="s">
        <v>40</v>
      </c>
      <c r="G5" s="52"/>
      <c r="H5" s="52" t="s">
        <v>41</v>
      </c>
      <c r="I5" s="52"/>
      <c r="J5" s="52" t="s">
        <v>42</v>
      </c>
      <c r="K5" s="53"/>
      <c r="M5" s="54" t="s">
        <v>43</v>
      </c>
      <c r="N5" s="55" t="s">
        <v>44</v>
      </c>
      <c r="O5" s="56" t="s">
        <v>44</v>
      </c>
      <c r="Q5" s="57" t="s">
        <v>45</v>
      </c>
      <c r="R5" s="57"/>
      <c r="U5" t="s">
        <v>46</v>
      </c>
      <c r="V5" t="s">
        <v>47</v>
      </c>
    </row>
    <row r="6" spans="1:33" ht="20" customHeight="1" thickBot="1" x14ac:dyDescent="0.25">
      <c r="B6" s="58">
        <f>SUM(IncomeTbl_MonthlySpendingTemplate575811141720232629323538[Amount])</f>
        <v>0</v>
      </c>
      <c r="C6" s="59"/>
      <c r="D6" s="59">
        <f>R6+R11</f>
        <v>0</v>
      </c>
      <c r="E6" s="59"/>
      <c r="F6" s="59">
        <f>B6-D6</f>
        <v>0</v>
      </c>
      <c r="G6" s="59"/>
      <c r="H6" s="60">
        <f>IFERROR(R9/B6,0)</f>
        <v>0</v>
      </c>
      <c r="I6" s="60"/>
      <c r="J6" s="61" t="str">
        <f>COUNTIF(BillsTbl_MonthlySpendingTemplate596912151821242730333639[Paid?],TRUE())&amp;" / "&amp;COUNTA(BillsTbl_MonthlySpendingTemplate596912151821242730333639[Bill Name])</f>
        <v>0 / 0</v>
      </c>
      <c r="K6" s="62"/>
      <c r="M6" s="63" t="s">
        <v>48</v>
      </c>
      <c r="N6" s="64">
        <f>IF(N5="50/30/20",B6*0.5,IF(N5="70/20/10",B6*0.7,0))</f>
        <v>0</v>
      </c>
      <c r="O6" s="56" t="s">
        <v>49</v>
      </c>
      <c r="Q6" s="65" t="s">
        <v>17</v>
      </c>
      <c r="R6" s="66">
        <f>O15+O17+O19+O21</f>
        <v>0</v>
      </c>
      <c r="T6" t="s">
        <v>50</v>
      </c>
      <c r="U6" s="67" t="str">
        <f>C37</f>
        <v>Savings</v>
      </c>
      <c r="V6" s="67">
        <f>R6</f>
        <v>0</v>
      </c>
      <c r="X6" s="56" t="s">
        <v>50</v>
      </c>
    </row>
    <row r="7" spans="1:33" ht="20" customHeight="1" x14ac:dyDescent="0.2">
      <c r="M7" s="63" t="s">
        <v>51</v>
      </c>
      <c r="N7" s="64">
        <f>IF(N5="50/30/20",B6*0.3,IF(N5="70/20/10",B6*0.2,0))</f>
        <v>0</v>
      </c>
      <c r="Q7" s="65" t="s">
        <v>18</v>
      </c>
      <c r="R7" s="66">
        <f>O14+O16+O18+O20</f>
        <v>0</v>
      </c>
      <c r="U7" s="67"/>
      <c r="V7" s="67"/>
      <c r="X7" s="56" t="s">
        <v>52</v>
      </c>
    </row>
    <row r="8" spans="1:33" ht="20" customHeight="1" thickBot="1" x14ac:dyDescent="0.25">
      <c r="C8" s="68" t="s">
        <v>53</v>
      </c>
      <c r="D8" s="68"/>
      <c r="E8" s="68"/>
      <c r="F8" s="68"/>
      <c r="M8" s="69" t="s">
        <v>54</v>
      </c>
      <c r="N8" s="70">
        <f>IF(N5="50/30/20",B6*0.2,IF(N5="70/20/10",B6*0.1,0))</f>
        <v>0</v>
      </c>
      <c r="Q8" s="71" t="s">
        <v>19</v>
      </c>
      <c r="R8" s="72">
        <f>SUM(SavingsTbl_MonthlySpendingTemplate6071013161922252831343740[Amount])</f>
        <v>0</v>
      </c>
      <c r="U8" s="67"/>
      <c r="V8" s="67"/>
      <c r="X8" s="56" t="s">
        <v>55</v>
      </c>
    </row>
    <row r="9" spans="1:33" ht="20" customHeight="1" thickBo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 t="s">
        <v>39</v>
      </c>
      <c r="R9" s="75">
        <f>R6+R7</f>
        <v>0</v>
      </c>
      <c r="S9" s="76"/>
      <c r="T9" s="73"/>
      <c r="U9" s="77"/>
      <c r="V9" s="77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 spans="1:33" ht="20" customHeight="1" thickTop="1" x14ac:dyDescent="0.2">
      <c r="U10" s="67"/>
      <c r="V10" s="67"/>
    </row>
    <row r="11" spans="1:33" ht="8" customHeight="1" x14ac:dyDescent="0.2">
      <c r="T11" t="s">
        <v>52</v>
      </c>
      <c r="U11" s="67" t="str">
        <f>C38</f>
        <v>401K</v>
      </c>
      <c r="V11" s="67">
        <f>R11</f>
        <v>0</v>
      </c>
    </row>
    <row r="12" spans="1:33" ht="28" customHeight="1" x14ac:dyDescent="0.25">
      <c r="B12" s="78" t="s">
        <v>56</v>
      </c>
      <c r="C12" s="79"/>
      <c r="D12" s="80"/>
      <c r="E12" s="78" t="s">
        <v>57</v>
      </c>
      <c r="F12" s="79"/>
      <c r="G12" s="80"/>
      <c r="H12" s="80"/>
      <c r="I12" s="78" t="s">
        <v>58</v>
      </c>
      <c r="J12" s="81"/>
      <c r="K12" s="81"/>
      <c r="L12" s="79"/>
      <c r="N12" s="82" t="s">
        <v>59</v>
      </c>
      <c r="O12" s="82"/>
      <c r="T12" t="s">
        <v>55</v>
      </c>
      <c r="U12" s="67" t="str">
        <f>C39</f>
        <v>Roth-IRA</v>
      </c>
      <c r="V12" s="67">
        <f>R12</f>
        <v>0</v>
      </c>
    </row>
    <row r="13" spans="1:33" x14ac:dyDescent="0.2">
      <c r="B13" s="83" t="s">
        <v>60</v>
      </c>
      <c r="C13" s="83" t="s">
        <v>61</v>
      </c>
      <c r="E13" s="83" t="s">
        <v>62</v>
      </c>
      <c r="F13" s="83" t="s">
        <v>61</v>
      </c>
      <c r="I13" s="83" t="s">
        <v>63</v>
      </c>
      <c r="J13" s="83" t="s">
        <v>25</v>
      </c>
      <c r="K13" s="83" t="s">
        <v>61</v>
      </c>
      <c r="L13" s="83" t="s">
        <v>64</v>
      </c>
      <c r="N13" s="84" t="s">
        <v>25</v>
      </c>
      <c r="O13" s="84" t="s">
        <v>65</v>
      </c>
    </row>
    <row r="14" spans="1:33" x14ac:dyDescent="0.2">
      <c r="B14" s="85"/>
      <c r="C14" s="86"/>
      <c r="E14" s="85"/>
      <c r="F14" s="86"/>
      <c r="I14" s="87"/>
      <c r="J14" s="85"/>
      <c r="K14" s="88"/>
      <c r="L14" s="85"/>
      <c r="N14" s="89" t="s">
        <v>30</v>
      </c>
      <c r="O14" s="90">
        <f>SUMIFS(BillsTbl_MonthlySpendingTemplate596912151821242730333639[Actual],BillsTbl_MonthlySpendingTemplate596912151821242730333639[Category],"Subscriptions")+SUMIFS(K14:K72,J14:J72,"Subscriptions")</f>
        <v>0</v>
      </c>
      <c r="Q14" s="91" t="s">
        <v>66</v>
      </c>
    </row>
    <row r="15" spans="1:33" x14ac:dyDescent="0.2">
      <c r="B15" s="85"/>
      <c r="C15" s="86"/>
      <c r="E15" s="85"/>
      <c r="F15" s="86"/>
      <c r="I15" s="87"/>
      <c r="J15" s="85"/>
      <c r="K15" s="88"/>
      <c r="L15" s="85"/>
      <c r="N15" s="89" t="s">
        <v>31</v>
      </c>
      <c r="O15" s="90">
        <f>SUMIFS(BillsTbl_MonthlySpendingTemplate596912151821242730333639[Actual],BillsTbl_MonthlySpendingTemplate596912151821242730333639[Category],"Gas")+SUMIFS(K14:K72,J14:J72,"Gas")</f>
        <v>0</v>
      </c>
      <c r="Q15" s="91" t="s">
        <v>67</v>
      </c>
    </row>
    <row r="16" spans="1:33" x14ac:dyDescent="0.2">
      <c r="B16" s="85"/>
      <c r="C16" s="86"/>
      <c r="E16" s="85"/>
      <c r="F16" s="86"/>
      <c r="I16" s="87"/>
      <c r="J16" s="85"/>
      <c r="K16" s="88"/>
      <c r="L16" s="85"/>
      <c r="N16" s="89" t="s">
        <v>32</v>
      </c>
      <c r="O16" s="90">
        <f>SUMIFS(BillsTbl_MonthlySpendingTemplate596912151821242730333639[Actual],BillsTbl_MonthlySpendingTemplate596912151821242730333639[Category],"Other")+SUMIFS(K14:K72,J14:J72,"Other")</f>
        <v>0</v>
      </c>
      <c r="Q16" s="91" t="s">
        <v>66</v>
      </c>
    </row>
    <row r="17" spans="2:17" x14ac:dyDescent="0.2">
      <c r="B17" s="85"/>
      <c r="C17" s="86"/>
      <c r="E17" s="85"/>
      <c r="F17" s="86"/>
      <c r="I17" s="87"/>
      <c r="J17" s="85"/>
      <c r="K17" s="88"/>
      <c r="L17" s="85"/>
      <c r="N17" s="89" t="s">
        <v>33</v>
      </c>
      <c r="O17" s="90">
        <f>SUMIFS(BillsTbl_MonthlySpendingTemplate596912151821242730333639[Actual],BillsTbl_MonthlySpendingTemplate596912151821242730333639[Category],"Groceries")+SUMIFS(K14:K72,J14:J72,"Groceries")</f>
        <v>0</v>
      </c>
      <c r="Q17" s="91" t="s">
        <v>67</v>
      </c>
    </row>
    <row r="18" spans="2:17" x14ac:dyDescent="0.2">
      <c r="B18" s="85"/>
      <c r="C18" s="86"/>
      <c r="E18" s="85"/>
      <c r="F18" s="86"/>
      <c r="I18" s="87"/>
      <c r="J18" s="85"/>
      <c r="K18" s="88"/>
      <c r="L18" s="85"/>
      <c r="N18" s="89" t="s">
        <v>34</v>
      </c>
      <c r="O18" s="90">
        <f>SUMIFS(BillsTbl_MonthlySpendingTemplate596912151821242730333639[Actual],BillsTbl_MonthlySpendingTemplate596912151821242730333639[Category],"Dining out")+SUMIFS(K14:K72,J14:J72,"Dining out")</f>
        <v>0</v>
      </c>
      <c r="Q18" s="91" t="s">
        <v>66</v>
      </c>
    </row>
    <row r="19" spans="2:17" x14ac:dyDescent="0.2">
      <c r="B19" s="85"/>
      <c r="C19" s="86"/>
      <c r="I19" s="87"/>
      <c r="J19" s="85"/>
      <c r="K19" s="88"/>
      <c r="L19" s="85"/>
      <c r="N19" s="89" t="s">
        <v>35</v>
      </c>
      <c r="O19" s="90">
        <f>SUMIFS(BillsTbl_MonthlySpendingTemplate596912151821242730333639[Actual],BillsTbl_MonthlySpendingTemplate596912151821242730333639[Category],"Rent")+SUMIFS(K14:K72,J14:J72,"Rent")</f>
        <v>0</v>
      </c>
      <c r="Q19" s="91" t="s">
        <v>67</v>
      </c>
    </row>
    <row r="20" spans="2:17" x14ac:dyDescent="0.2">
      <c r="I20" s="87"/>
      <c r="J20" s="85"/>
      <c r="K20" s="88"/>
      <c r="L20" s="85"/>
      <c r="N20" s="89" t="s">
        <v>36</v>
      </c>
      <c r="O20" s="90">
        <f>SUMIFS(BillsTbl_MonthlySpendingTemplate596912151821242730333639[Actual],BillsTbl_MonthlySpendingTemplate596912151821242730333639[Category],"Shopping")+SUMIFS(K14:K72,J14:J72,"Shopping")</f>
        <v>0</v>
      </c>
      <c r="Q20" s="91" t="s">
        <v>66</v>
      </c>
    </row>
    <row r="21" spans="2:17" ht="19" x14ac:dyDescent="0.2">
      <c r="B21" s="78" t="s">
        <v>68</v>
      </c>
      <c r="C21" s="81"/>
      <c r="D21" s="81"/>
      <c r="E21" s="81"/>
      <c r="F21" s="79"/>
      <c r="I21" s="87"/>
      <c r="J21" s="85"/>
      <c r="K21" s="88"/>
      <c r="L21" s="85"/>
      <c r="N21" s="89" t="s">
        <v>37</v>
      </c>
      <c r="O21" s="90">
        <f>SUMIFS(BillsTbl_MonthlySpendingTemplate596912151821242730333639[Actual],BillsTbl_MonthlySpendingTemplate596912151821242730333639[Category],"Credit Card")+SUMIFS(K14:K72,J14:J72,"Credit Card")</f>
        <v>0</v>
      </c>
      <c r="Q21" s="91" t="s">
        <v>69</v>
      </c>
    </row>
    <row r="22" spans="2:17" x14ac:dyDescent="0.2">
      <c r="B22" s="83" t="s">
        <v>70</v>
      </c>
      <c r="C22" s="83" t="s">
        <v>25</v>
      </c>
      <c r="D22" s="83" t="s">
        <v>61</v>
      </c>
      <c r="E22" s="83" t="s">
        <v>71</v>
      </c>
      <c r="F22" s="83" t="s">
        <v>47</v>
      </c>
      <c r="I22" s="87"/>
      <c r="J22" s="85"/>
      <c r="K22" s="88"/>
      <c r="L22" s="85"/>
    </row>
    <row r="23" spans="2:17" x14ac:dyDescent="0.2">
      <c r="B23" s="85"/>
      <c r="C23" s="85"/>
      <c r="D23" s="92"/>
      <c r="E23" s="85"/>
      <c r="F23" s="86">
        <f t="shared" ref="F23:F34" si="0">IF(E23=TRUE(),D23,0)</f>
        <v>0</v>
      </c>
      <c r="I23" s="87"/>
      <c r="J23" s="85"/>
      <c r="K23" s="88"/>
      <c r="L23" s="85"/>
    </row>
    <row r="24" spans="2:17" x14ac:dyDescent="0.2">
      <c r="B24" s="85"/>
      <c r="C24" s="85"/>
      <c r="D24" s="92"/>
      <c r="E24" s="85"/>
      <c r="F24" s="86">
        <f t="shared" si="0"/>
        <v>0</v>
      </c>
      <c r="I24" s="87"/>
      <c r="J24" s="85"/>
      <c r="K24" s="88"/>
      <c r="L24" s="85"/>
    </row>
    <row r="25" spans="2:17" x14ac:dyDescent="0.2">
      <c r="B25" s="85"/>
      <c r="C25" s="85"/>
      <c r="D25" s="92"/>
      <c r="E25" s="85"/>
      <c r="F25" s="86">
        <f t="shared" si="0"/>
        <v>0</v>
      </c>
      <c r="I25" s="87"/>
      <c r="J25" s="85"/>
      <c r="K25" s="88"/>
      <c r="L25" s="85"/>
    </row>
    <row r="26" spans="2:17" x14ac:dyDescent="0.2">
      <c r="B26" s="85"/>
      <c r="C26" s="85"/>
      <c r="D26" s="92"/>
      <c r="E26" s="85"/>
      <c r="F26" s="86">
        <f t="shared" si="0"/>
        <v>0</v>
      </c>
      <c r="I26" s="87"/>
      <c r="J26" s="85"/>
      <c r="K26" s="88"/>
      <c r="L26" s="85"/>
    </row>
    <row r="27" spans="2:17" x14ac:dyDescent="0.2">
      <c r="B27" s="85"/>
      <c r="C27" s="85"/>
      <c r="D27" s="92"/>
      <c r="E27" s="85"/>
      <c r="F27" s="86">
        <f t="shared" si="0"/>
        <v>0</v>
      </c>
      <c r="I27" s="87"/>
      <c r="J27" s="85"/>
      <c r="K27" s="88"/>
      <c r="L27" s="85"/>
    </row>
    <row r="28" spans="2:17" x14ac:dyDescent="0.2">
      <c r="B28" s="85"/>
      <c r="C28" s="85"/>
      <c r="D28" s="92"/>
      <c r="E28" s="85"/>
      <c r="F28" s="86">
        <f t="shared" si="0"/>
        <v>0</v>
      </c>
      <c r="I28" s="87"/>
      <c r="J28" s="85"/>
      <c r="K28" s="88"/>
      <c r="L28" s="85"/>
      <c r="Q28" s="91"/>
    </row>
    <row r="29" spans="2:17" x14ac:dyDescent="0.2">
      <c r="B29" s="85"/>
      <c r="C29" s="85"/>
      <c r="D29" s="92"/>
      <c r="E29" s="85"/>
      <c r="F29" s="86">
        <f t="shared" si="0"/>
        <v>0</v>
      </c>
      <c r="I29" s="87"/>
      <c r="J29" s="85"/>
      <c r="K29" s="88"/>
      <c r="L29" s="85"/>
      <c r="Q29" s="91"/>
    </row>
    <row r="30" spans="2:17" x14ac:dyDescent="0.2">
      <c r="B30" s="85"/>
      <c r="C30" s="85"/>
      <c r="D30" s="92"/>
      <c r="E30" s="85"/>
      <c r="F30" s="86">
        <f t="shared" si="0"/>
        <v>0</v>
      </c>
      <c r="I30" s="87"/>
      <c r="J30" s="85"/>
      <c r="K30" s="88"/>
      <c r="L30" s="85"/>
      <c r="Q30" s="91"/>
    </row>
    <row r="31" spans="2:17" x14ac:dyDescent="0.2">
      <c r="B31" s="85"/>
      <c r="C31" s="85"/>
      <c r="D31" s="92"/>
      <c r="E31" s="85"/>
      <c r="F31" s="86">
        <f t="shared" si="0"/>
        <v>0</v>
      </c>
      <c r="I31" s="87"/>
      <c r="J31" s="85"/>
      <c r="K31" s="88"/>
      <c r="L31" s="85"/>
      <c r="Q31" s="91"/>
    </row>
    <row r="32" spans="2:17" x14ac:dyDescent="0.2">
      <c r="B32" s="85"/>
      <c r="C32" s="85"/>
      <c r="D32" s="92"/>
      <c r="E32" s="85"/>
      <c r="F32" s="86">
        <f t="shared" si="0"/>
        <v>0</v>
      </c>
      <c r="I32" s="87"/>
      <c r="J32" s="85"/>
      <c r="K32" s="88"/>
      <c r="L32" s="85"/>
      <c r="Q32" s="91"/>
    </row>
    <row r="33" spans="2:17" x14ac:dyDescent="0.2">
      <c r="B33" s="85"/>
      <c r="C33" s="85"/>
      <c r="D33" s="92"/>
      <c r="E33" s="85"/>
      <c r="F33" s="86">
        <f t="shared" si="0"/>
        <v>0</v>
      </c>
      <c r="I33" s="87"/>
      <c r="J33" s="85"/>
      <c r="K33" s="88"/>
      <c r="L33" s="85"/>
      <c r="Q33" s="91"/>
    </row>
    <row r="34" spans="2:17" x14ac:dyDescent="0.2">
      <c r="B34" s="85"/>
      <c r="C34" s="85"/>
      <c r="D34" s="92"/>
      <c r="E34" s="85"/>
      <c r="F34" s="86">
        <f t="shared" si="0"/>
        <v>0</v>
      </c>
      <c r="I34" s="87"/>
      <c r="J34" s="85"/>
      <c r="K34" s="88"/>
      <c r="L34" s="85"/>
      <c r="Q34" s="91"/>
    </row>
    <row r="35" spans="2:17" x14ac:dyDescent="0.2">
      <c r="I35" s="87"/>
      <c r="J35" s="85"/>
      <c r="K35" s="88"/>
      <c r="L35" s="85"/>
    </row>
    <row r="36" spans="2:17" ht="24" customHeight="1" x14ac:dyDescent="0.2">
      <c r="B36" s="93" t="s">
        <v>72</v>
      </c>
      <c r="C36" s="94"/>
      <c r="I36" s="87"/>
      <c r="J36" s="85"/>
      <c r="K36" s="88"/>
      <c r="L36" s="85"/>
    </row>
    <row r="37" spans="2:17" x14ac:dyDescent="0.2">
      <c r="B37" s="95">
        <v>1</v>
      </c>
      <c r="C37" s="96" t="s">
        <v>55</v>
      </c>
      <c r="I37" s="87"/>
      <c r="J37" s="85"/>
      <c r="K37" s="88"/>
      <c r="L37" s="85"/>
    </row>
    <row r="38" spans="2:17" x14ac:dyDescent="0.2">
      <c r="B38" s="95">
        <v>2</v>
      </c>
      <c r="C38" s="96" t="s">
        <v>73</v>
      </c>
      <c r="I38" s="87"/>
      <c r="J38" s="85"/>
      <c r="K38" s="88"/>
      <c r="L38" s="85"/>
    </row>
    <row r="39" spans="2:17" x14ac:dyDescent="0.2">
      <c r="B39" s="95">
        <v>3</v>
      </c>
      <c r="C39" s="96" t="s">
        <v>74</v>
      </c>
      <c r="I39" s="87"/>
      <c r="J39" s="85"/>
      <c r="K39" s="88"/>
      <c r="L39" s="85"/>
    </row>
    <row r="40" spans="2:17" x14ac:dyDescent="0.2">
      <c r="B40" s="95">
        <v>4</v>
      </c>
      <c r="C40" s="96" t="s">
        <v>75</v>
      </c>
      <c r="I40" s="87"/>
      <c r="J40" s="85"/>
      <c r="K40" s="88"/>
      <c r="L40" s="85"/>
    </row>
    <row r="41" spans="2:17" x14ac:dyDescent="0.2">
      <c r="I41" s="87"/>
      <c r="J41" s="85"/>
      <c r="K41" s="88"/>
      <c r="L41" s="85"/>
    </row>
    <row r="42" spans="2:17" x14ac:dyDescent="0.2">
      <c r="I42" s="87"/>
      <c r="J42" s="85"/>
      <c r="K42" s="88"/>
      <c r="L42" s="85"/>
    </row>
    <row r="43" spans="2:17" x14ac:dyDescent="0.2">
      <c r="I43" s="87"/>
      <c r="J43" s="85"/>
      <c r="K43" s="88"/>
      <c r="L43" s="85"/>
    </row>
    <row r="44" spans="2:17" x14ac:dyDescent="0.2">
      <c r="I44" s="87"/>
      <c r="J44" s="85"/>
      <c r="K44" s="88"/>
      <c r="L44" s="85"/>
    </row>
    <row r="45" spans="2:17" x14ac:dyDescent="0.2">
      <c r="I45" s="87"/>
      <c r="J45" s="85"/>
      <c r="K45" s="88"/>
      <c r="L45" s="85"/>
    </row>
    <row r="46" spans="2:17" x14ac:dyDescent="0.2">
      <c r="I46" s="87"/>
      <c r="J46" s="85"/>
      <c r="K46" s="88"/>
      <c r="L46" s="85"/>
    </row>
    <row r="47" spans="2:17" x14ac:dyDescent="0.2">
      <c r="I47" s="87"/>
      <c r="J47" s="85"/>
      <c r="K47" s="88"/>
      <c r="L47" s="85"/>
    </row>
    <row r="48" spans="2:17" x14ac:dyDescent="0.2">
      <c r="I48" s="87"/>
      <c r="J48" s="85"/>
      <c r="K48" s="88"/>
      <c r="L48" s="85"/>
    </row>
    <row r="49" spans="9:12" x14ac:dyDescent="0.2">
      <c r="I49" s="87"/>
      <c r="J49" s="85"/>
      <c r="K49" s="88"/>
      <c r="L49" s="85"/>
    </row>
    <row r="50" spans="9:12" x14ac:dyDescent="0.2">
      <c r="I50" s="87"/>
      <c r="J50" s="85"/>
      <c r="K50" s="88"/>
      <c r="L50" s="85"/>
    </row>
    <row r="51" spans="9:12" x14ac:dyDescent="0.2">
      <c r="I51" s="87"/>
      <c r="J51" s="85"/>
      <c r="K51" s="88"/>
      <c r="L51" s="85"/>
    </row>
    <row r="52" spans="9:12" x14ac:dyDescent="0.2">
      <c r="I52" s="87"/>
      <c r="J52" s="85"/>
      <c r="K52" s="88"/>
      <c r="L52" s="85"/>
    </row>
    <row r="53" spans="9:12" x14ac:dyDescent="0.2">
      <c r="I53" s="87"/>
      <c r="J53" s="85"/>
      <c r="K53" s="88"/>
      <c r="L53" s="85"/>
    </row>
    <row r="54" spans="9:12" x14ac:dyDescent="0.2">
      <c r="I54" s="87"/>
      <c r="J54" s="85"/>
      <c r="K54" s="88"/>
      <c r="L54" s="85"/>
    </row>
    <row r="55" spans="9:12" x14ac:dyDescent="0.2">
      <c r="I55" s="87"/>
      <c r="J55" s="85"/>
      <c r="K55" s="88"/>
      <c r="L55" s="85"/>
    </row>
    <row r="56" spans="9:12" x14ac:dyDescent="0.2">
      <c r="I56" s="87"/>
      <c r="J56" s="85"/>
      <c r="K56" s="88"/>
      <c r="L56" s="85"/>
    </row>
    <row r="57" spans="9:12" x14ac:dyDescent="0.2">
      <c r="I57" s="87"/>
      <c r="J57" s="85"/>
      <c r="K57" s="88"/>
      <c r="L57" s="85"/>
    </row>
    <row r="58" spans="9:12" x14ac:dyDescent="0.2">
      <c r="I58" s="87"/>
      <c r="J58" s="85"/>
      <c r="K58" s="88"/>
      <c r="L58" s="85"/>
    </row>
    <row r="59" spans="9:12" x14ac:dyDescent="0.2">
      <c r="I59" s="87"/>
      <c r="J59" s="85"/>
      <c r="K59" s="88"/>
      <c r="L59" s="85"/>
    </row>
    <row r="60" spans="9:12" x14ac:dyDescent="0.2">
      <c r="I60" s="87"/>
      <c r="J60" s="85"/>
      <c r="K60" s="88"/>
      <c r="L60" s="85"/>
    </row>
    <row r="61" spans="9:12" x14ac:dyDescent="0.2">
      <c r="I61" s="87"/>
      <c r="J61" s="85"/>
      <c r="K61" s="88"/>
      <c r="L61" s="85"/>
    </row>
    <row r="62" spans="9:12" x14ac:dyDescent="0.2">
      <c r="I62" s="87"/>
      <c r="J62" s="85"/>
      <c r="K62" s="88"/>
      <c r="L62" s="85"/>
    </row>
    <row r="63" spans="9:12" x14ac:dyDescent="0.2">
      <c r="I63" s="87"/>
      <c r="J63" s="85"/>
      <c r="K63" s="88"/>
      <c r="L63" s="85"/>
    </row>
    <row r="64" spans="9:12" x14ac:dyDescent="0.2">
      <c r="I64" s="87"/>
      <c r="J64" s="85"/>
      <c r="K64" s="88"/>
      <c r="L64" s="85"/>
    </row>
    <row r="65" spans="9:12" x14ac:dyDescent="0.2">
      <c r="I65" s="87"/>
      <c r="J65" s="85"/>
      <c r="K65" s="88"/>
      <c r="L65" s="85"/>
    </row>
    <row r="66" spans="9:12" x14ac:dyDescent="0.2">
      <c r="I66" s="87"/>
      <c r="J66" s="85"/>
      <c r="K66" s="88"/>
      <c r="L66" s="85"/>
    </row>
    <row r="67" spans="9:12" x14ac:dyDescent="0.2">
      <c r="I67" s="87"/>
      <c r="J67" s="85"/>
      <c r="K67" s="88"/>
      <c r="L67" s="85"/>
    </row>
    <row r="68" spans="9:12" x14ac:dyDescent="0.2">
      <c r="I68" s="87"/>
      <c r="J68" s="85"/>
      <c r="K68" s="88"/>
      <c r="L68" s="85"/>
    </row>
    <row r="69" spans="9:12" x14ac:dyDescent="0.2">
      <c r="I69" s="87"/>
      <c r="J69" s="85"/>
      <c r="K69" s="88"/>
      <c r="L69" s="85"/>
    </row>
    <row r="70" spans="9:12" x14ac:dyDescent="0.2">
      <c r="I70" s="87"/>
      <c r="J70" s="85"/>
      <c r="K70" s="88"/>
      <c r="L70" s="85"/>
    </row>
    <row r="71" spans="9:12" x14ac:dyDescent="0.2">
      <c r="I71" s="87"/>
      <c r="J71" s="85"/>
      <c r="K71" s="88"/>
      <c r="L71" s="85"/>
    </row>
    <row r="72" spans="9:12" x14ac:dyDescent="0.2">
      <c r="I72" s="87"/>
      <c r="J72" s="85"/>
      <c r="K72" s="88"/>
      <c r="L72" s="85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8117A934-4E68-CC4C-85D9-FBFA3F2B40EB}">
      <formula1>$C$37:$C$40</formula1>
    </dataValidation>
    <dataValidation type="list" allowBlank="1" showInputMessage="1" showErrorMessage="1" sqref="N5" xr:uid="{83D7F0C4-C69C-F64C-81AF-26411710DC88}">
      <formula1>$O$5:$O$6</formula1>
    </dataValidation>
    <dataValidation type="list" allowBlank="1" sqref="E23:E34" xr:uid="{96C1FC91-FD18-4649-9EA8-60705C2B11AD}">
      <formula1>"TRUE,FALSE"</formula1>
      <formula2>0</formula2>
    </dataValidation>
    <dataValidation type="list" allowBlank="1" sqref="C23:C34 J14:J72" xr:uid="{237FB6C7-83F3-CD4B-A3E2-83206882E863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Spending Template</vt:lpstr>
      <vt:lpstr>Yearly Overview</vt:lpstr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Cesar</dc:creator>
  <cp:lastModifiedBy>Sanchez, Cesar</cp:lastModifiedBy>
  <dcterms:created xsi:type="dcterms:W3CDTF">2026-07-14T20:41:30Z</dcterms:created>
  <dcterms:modified xsi:type="dcterms:W3CDTF">2026-07-14T21:10:26Z</dcterms:modified>
</cp:coreProperties>
</file>