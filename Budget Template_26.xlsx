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esarsanchez/Desktop/School/Excel/"/>
    </mc:Choice>
  </mc:AlternateContent>
  <xr:revisionPtr revIDLastSave="0" documentId="8_{BA6CE243-1639-A94F-98AE-D78BA363AED7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Monthly Spending Template" sheetId="1" r:id="rId1"/>
    <sheet name="Yearly Overview" sheetId="2" r:id="rId2"/>
    <sheet name="Jan" sheetId="16" r:id="rId3"/>
    <sheet name="Feb" sheetId="17" r:id="rId4"/>
    <sheet name="Mar" sheetId="19" r:id="rId5"/>
    <sheet name="Apr" sheetId="18" r:id="rId6"/>
    <sheet name="May" sheetId="20" r:id="rId7"/>
    <sheet name="Jun" sheetId="21" r:id="rId8"/>
    <sheet name="Jul" sheetId="22" r:id="rId9"/>
    <sheet name="Aug" sheetId="27" r:id="rId10"/>
    <sheet name="Sept" sheetId="26" r:id="rId11"/>
    <sheet name="Oct" sheetId="23" r:id="rId12"/>
    <sheet name="Nov" sheetId="24" r:id="rId13"/>
    <sheet name="Dec" sheetId="25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8" i="2" l="1"/>
  <c r="P27" i="2"/>
  <c r="P26" i="2"/>
  <c r="P25" i="2"/>
  <c r="P24" i="2"/>
  <c r="P23" i="2"/>
  <c r="P22" i="2"/>
  <c r="O29" i="2"/>
  <c r="O28" i="2"/>
  <c r="O27" i="2"/>
  <c r="O26" i="2"/>
  <c r="O25" i="2"/>
  <c r="O24" i="2"/>
  <c r="O23" i="2"/>
  <c r="O22" i="2"/>
  <c r="N29" i="2"/>
  <c r="N28" i="2"/>
  <c r="N27" i="2"/>
  <c r="N26" i="2"/>
  <c r="N25" i="2"/>
  <c r="N24" i="2"/>
  <c r="N23" i="2"/>
  <c r="N22" i="2"/>
  <c r="M29" i="2"/>
  <c r="M28" i="2"/>
  <c r="M27" i="2"/>
  <c r="M26" i="2"/>
  <c r="M25" i="2"/>
  <c r="M24" i="2"/>
  <c r="M23" i="2"/>
  <c r="M22" i="2"/>
  <c r="L29" i="2"/>
  <c r="L28" i="2"/>
  <c r="L27" i="2"/>
  <c r="L26" i="2"/>
  <c r="L25" i="2"/>
  <c r="L24" i="2"/>
  <c r="L23" i="2"/>
  <c r="L22" i="2"/>
  <c r="K29" i="2"/>
  <c r="K28" i="2"/>
  <c r="K27" i="2"/>
  <c r="K26" i="2"/>
  <c r="K25" i="2"/>
  <c r="K24" i="2"/>
  <c r="K23" i="2"/>
  <c r="K22" i="2"/>
  <c r="J29" i="2"/>
  <c r="J28" i="2"/>
  <c r="J27" i="2"/>
  <c r="J26" i="2"/>
  <c r="J25" i="2"/>
  <c r="J24" i="2"/>
  <c r="J23" i="2"/>
  <c r="J22" i="2"/>
  <c r="I28" i="2"/>
  <c r="I27" i="2"/>
  <c r="I26" i="2"/>
  <c r="I25" i="2"/>
  <c r="I24" i="2"/>
  <c r="I23" i="2"/>
  <c r="I22" i="2"/>
  <c r="H29" i="2"/>
  <c r="H28" i="2"/>
  <c r="H27" i="2"/>
  <c r="H26" i="2"/>
  <c r="H25" i="2"/>
  <c r="H24" i="2"/>
  <c r="H23" i="2"/>
  <c r="H22" i="2"/>
  <c r="G29" i="2"/>
  <c r="G28" i="2"/>
  <c r="G27" i="2"/>
  <c r="G26" i="2"/>
  <c r="G25" i="2"/>
  <c r="G24" i="2"/>
  <c r="G23" i="2"/>
  <c r="G22" i="2"/>
  <c r="F29" i="2"/>
  <c r="F28" i="2"/>
  <c r="F27" i="2"/>
  <c r="F26" i="2"/>
  <c r="F25" i="2"/>
  <c r="F24" i="2"/>
  <c r="F23" i="2"/>
  <c r="F22" i="2"/>
  <c r="P17" i="2"/>
  <c r="P16" i="2"/>
  <c r="P15" i="2"/>
  <c r="P14" i="2"/>
  <c r="P13" i="2"/>
  <c r="P12" i="2"/>
  <c r="P11" i="2"/>
  <c r="O17" i="2"/>
  <c r="O16" i="2"/>
  <c r="O15" i="2"/>
  <c r="O14" i="2"/>
  <c r="O13" i="2"/>
  <c r="O12" i="2"/>
  <c r="O11" i="2"/>
  <c r="N17" i="2"/>
  <c r="N16" i="2"/>
  <c r="N15" i="2"/>
  <c r="N14" i="2"/>
  <c r="N13" i="2"/>
  <c r="N12" i="2"/>
  <c r="N11" i="2"/>
  <c r="M17" i="2"/>
  <c r="M16" i="2"/>
  <c r="M15" i="2"/>
  <c r="M14" i="2"/>
  <c r="M13" i="2"/>
  <c r="M12" i="2"/>
  <c r="M11" i="2"/>
  <c r="L17" i="2"/>
  <c r="L16" i="2"/>
  <c r="L15" i="2"/>
  <c r="L14" i="2"/>
  <c r="L13" i="2"/>
  <c r="L12" i="2"/>
  <c r="L11" i="2"/>
  <c r="K17" i="2"/>
  <c r="K16" i="2"/>
  <c r="K15" i="2"/>
  <c r="K14" i="2"/>
  <c r="K13" i="2"/>
  <c r="K12" i="2"/>
  <c r="K11" i="2"/>
  <c r="J17" i="2"/>
  <c r="J16" i="2"/>
  <c r="J15" i="2"/>
  <c r="J14" i="2"/>
  <c r="J13" i="2"/>
  <c r="J12" i="2"/>
  <c r="J11" i="2"/>
  <c r="I17" i="2"/>
  <c r="I16" i="2"/>
  <c r="I15" i="2"/>
  <c r="I14" i="2"/>
  <c r="I12" i="2"/>
  <c r="I11" i="2"/>
  <c r="H17" i="2"/>
  <c r="H16" i="2"/>
  <c r="H15" i="2"/>
  <c r="H14" i="2"/>
  <c r="H13" i="2"/>
  <c r="H12" i="2"/>
  <c r="H11" i="2"/>
  <c r="G17" i="2"/>
  <c r="G16" i="2"/>
  <c r="G15" i="2"/>
  <c r="G14" i="2"/>
  <c r="G13" i="2"/>
  <c r="G12" i="2"/>
  <c r="G11" i="2"/>
  <c r="F27" i="26"/>
  <c r="F26" i="26"/>
  <c r="F25" i="26"/>
  <c r="F24" i="26"/>
  <c r="F23" i="26"/>
  <c r="E27" i="26"/>
  <c r="E26" i="26"/>
  <c r="E25" i="26"/>
  <c r="E24" i="26"/>
  <c r="E23" i="26"/>
  <c r="F34" i="27"/>
  <c r="F33" i="27"/>
  <c r="F32" i="27"/>
  <c r="F31" i="27"/>
  <c r="F30" i="27"/>
  <c r="F29" i="27"/>
  <c r="F28" i="27"/>
  <c r="F27" i="27"/>
  <c r="F26" i="27"/>
  <c r="F25" i="27"/>
  <c r="F24" i="27"/>
  <c r="F23" i="27"/>
  <c r="O21" i="27"/>
  <c r="O20" i="27"/>
  <c r="O19" i="27"/>
  <c r="O18" i="27"/>
  <c r="O17" i="27"/>
  <c r="O16" i="27"/>
  <c r="O15" i="27"/>
  <c r="O14" i="27"/>
  <c r="V12" i="27"/>
  <c r="U12" i="27"/>
  <c r="V11" i="27"/>
  <c r="U11" i="27"/>
  <c r="R8" i="27"/>
  <c r="U6" i="27"/>
  <c r="J6" i="27"/>
  <c r="B6" i="27"/>
  <c r="N6" i="27" s="1"/>
  <c r="O14" i="26"/>
  <c r="O21" i="26"/>
  <c r="O19" i="26"/>
  <c r="O20" i="26"/>
  <c r="O18" i="26"/>
  <c r="O17" i="26"/>
  <c r="O16" i="26"/>
  <c r="O15" i="26"/>
  <c r="V12" i="26"/>
  <c r="U12" i="26"/>
  <c r="V11" i="26"/>
  <c r="U11" i="26"/>
  <c r="R8" i="26"/>
  <c r="U6" i="26"/>
  <c r="J6" i="26"/>
  <c r="B6" i="26"/>
  <c r="N6" i="26" s="1"/>
  <c r="F17" i="2"/>
  <c r="F16" i="2"/>
  <c r="F15" i="2"/>
  <c r="F14" i="2"/>
  <c r="F13" i="2"/>
  <c r="F12" i="2"/>
  <c r="F11" i="2"/>
  <c r="E17" i="2"/>
  <c r="E16" i="2"/>
  <c r="E15" i="2"/>
  <c r="E14" i="2"/>
  <c r="E13" i="2"/>
  <c r="E12" i="2"/>
  <c r="E11" i="2"/>
  <c r="P29" i="2"/>
  <c r="I29" i="2"/>
  <c r="E26" i="2"/>
  <c r="E29" i="2"/>
  <c r="E28" i="2"/>
  <c r="E27" i="2"/>
  <c r="E25" i="2"/>
  <c r="E24" i="2"/>
  <c r="E23" i="2"/>
  <c r="E22" i="2"/>
  <c r="I13" i="2"/>
  <c r="F34" i="25"/>
  <c r="F33" i="25"/>
  <c r="F32" i="25"/>
  <c r="F31" i="25"/>
  <c r="F30" i="25"/>
  <c r="F29" i="25"/>
  <c r="F28" i="25"/>
  <c r="F27" i="25"/>
  <c r="F26" i="25"/>
  <c r="F25" i="25"/>
  <c r="F24" i="25"/>
  <c r="F23" i="25"/>
  <c r="O21" i="25"/>
  <c r="O20" i="25"/>
  <c r="O19" i="25"/>
  <c r="R6" i="25" s="1"/>
  <c r="O18" i="25"/>
  <c r="O17" i="25"/>
  <c r="O16" i="25"/>
  <c r="O15" i="25"/>
  <c r="O14" i="25"/>
  <c r="R7" i="25" s="1"/>
  <c r="V12" i="25"/>
  <c r="U12" i="25"/>
  <c r="V11" i="25"/>
  <c r="U11" i="25"/>
  <c r="R8" i="25"/>
  <c r="U6" i="25"/>
  <c r="J6" i="25"/>
  <c r="B6" i="25"/>
  <c r="N6" i="25" s="1"/>
  <c r="F34" i="24"/>
  <c r="F33" i="24"/>
  <c r="F32" i="24"/>
  <c r="F31" i="24"/>
  <c r="F30" i="24"/>
  <c r="F29" i="24"/>
  <c r="F28" i="24"/>
  <c r="F27" i="24"/>
  <c r="F26" i="24"/>
  <c r="F25" i="24"/>
  <c r="F24" i="24"/>
  <c r="F23" i="24"/>
  <c r="O21" i="24"/>
  <c r="O20" i="24"/>
  <c r="O19" i="24"/>
  <c r="R6" i="24" s="1"/>
  <c r="O18" i="24"/>
  <c r="O17" i="24"/>
  <c r="O16" i="24"/>
  <c r="O15" i="24"/>
  <c r="O14" i="24"/>
  <c r="R7" i="24" s="1"/>
  <c r="V12" i="24"/>
  <c r="U12" i="24"/>
  <c r="V11" i="24"/>
  <c r="U11" i="24"/>
  <c r="R8" i="24"/>
  <c r="U6" i="24"/>
  <c r="J6" i="24"/>
  <c r="B6" i="24"/>
  <c r="N6" i="24" s="1"/>
  <c r="F34" i="23"/>
  <c r="F33" i="23"/>
  <c r="F32" i="23"/>
  <c r="F31" i="23"/>
  <c r="F30" i="23"/>
  <c r="F29" i="23"/>
  <c r="F28" i="23"/>
  <c r="F27" i="23"/>
  <c r="F26" i="23"/>
  <c r="F25" i="23"/>
  <c r="F24" i="23"/>
  <c r="F23" i="23"/>
  <c r="O21" i="23"/>
  <c r="O20" i="23"/>
  <c r="O19" i="23"/>
  <c r="O18" i="23"/>
  <c r="O17" i="23"/>
  <c r="O16" i="23"/>
  <c r="O15" i="23"/>
  <c r="O14" i="23"/>
  <c r="R7" i="23" s="1"/>
  <c r="V12" i="23"/>
  <c r="U12" i="23"/>
  <c r="V11" i="23"/>
  <c r="U11" i="23"/>
  <c r="R8" i="23"/>
  <c r="N7" i="23"/>
  <c r="U6" i="23"/>
  <c r="R6" i="23"/>
  <c r="R9" i="23" s="1"/>
  <c r="H6" i="23" s="1"/>
  <c r="J6" i="23"/>
  <c r="B6" i="23"/>
  <c r="N6" i="23" s="1"/>
  <c r="F34" i="22"/>
  <c r="F33" i="22"/>
  <c r="F32" i="22"/>
  <c r="F31" i="22"/>
  <c r="F30" i="22"/>
  <c r="F29" i="22"/>
  <c r="F28" i="22"/>
  <c r="F27" i="22"/>
  <c r="F26" i="22"/>
  <c r="F25" i="22"/>
  <c r="F24" i="22"/>
  <c r="F23" i="22"/>
  <c r="O21" i="22"/>
  <c r="O20" i="22"/>
  <c r="O19" i="22"/>
  <c r="O18" i="22"/>
  <c r="O17" i="22"/>
  <c r="O16" i="22"/>
  <c r="O15" i="22"/>
  <c r="O14" i="22"/>
  <c r="V12" i="22"/>
  <c r="U12" i="22"/>
  <c r="V11" i="22"/>
  <c r="U11" i="22"/>
  <c r="R8" i="22"/>
  <c r="U6" i="22"/>
  <c r="J6" i="22"/>
  <c r="B6" i="22"/>
  <c r="N6" i="22" s="1"/>
  <c r="F34" i="21"/>
  <c r="F33" i="21"/>
  <c r="F32" i="21"/>
  <c r="F31" i="21"/>
  <c r="F30" i="21"/>
  <c r="F29" i="21"/>
  <c r="F28" i="21"/>
  <c r="F27" i="21"/>
  <c r="F26" i="21"/>
  <c r="F25" i="21"/>
  <c r="F24" i="21"/>
  <c r="F23" i="21"/>
  <c r="O21" i="21"/>
  <c r="O20" i="21"/>
  <c r="O19" i="21"/>
  <c r="R6" i="21" s="1"/>
  <c r="O18" i="21"/>
  <c r="O17" i="21"/>
  <c r="O16" i="21"/>
  <c r="O15" i="21"/>
  <c r="O14" i="21"/>
  <c r="R7" i="21" s="1"/>
  <c r="V12" i="21"/>
  <c r="U12" i="21"/>
  <c r="V11" i="21"/>
  <c r="U11" i="21"/>
  <c r="R8" i="21"/>
  <c r="U6" i="21"/>
  <c r="J6" i="21"/>
  <c r="B6" i="21"/>
  <c r="N6" i="21" s="1"/>
  <c r="F34" i="20"/>
  <c r="F33" i="20"/>
  <c r="F32" i="20"/>
  <c r="F31" i="20"/>
  <c r="F30" i="20"/>
  <c r="F29" i="20"/>
  <c r="F28" i="20"/>
  <c r="F27" i="20"/>
  <c r="F26" i="20"/>
  <c r="F25" i="20"/>
  <c r="F24" i="20"/>
  <c r="F23" i="20"/>
  <c r="O21" i="20"/>
  <c r="O20" i="20"/>
  <c r="O19" i="20"/>
  <c r="O18" i="20"/>
  <c r="O17" i="20"/>
  <c r="O16" i="20"/>
  <c r="O15" i="20"/>
  <c r="O14" i="20"/>
  <c r="R7" i="20" s="1"/>
  <c r="V12" i="20"/>
  <c r="U12" i="20"/>
  <c r="V11" i="20"/>
  <c r="U11" i="20"/>
  <c r="R8" i="20"/>
  <c r="U6" i="20"/>
  <c r="R6" i="20"/>
  <c r="J6" i="20"/>
  <c r="B6" i="20"/>
  <c r="N6" i="20" s="1"/>
  <c r="F34" i="19"/>
  <c r="F33" i="19"/>
  <c r="F32" i="19"/>
  <c r="F31" i="19"/>
  <c r="F30" i="19"/>
  <c r="F29" i="19"/>
  <c r="F28" i="19"/>
  <c r="F27" i="19"/>
  <c r="F26" i="19"/>
  <c r="F25" i="19"/>
  <c r="F24" i="19"/>
  <c r="F23" i="19"/>
  <c r="O21" i="19"/>
  <c r="O20" i="19"/>
  <c r="O19" i="19"/>
  <c r="R6" i="19" s="1"/>
  <c r="O18" i="19"/>
  <c r="O17" i="19"/>
  <c r="O16" i="19"/>
  <c r="O15" i="19"/>
  <c r="O14" i="19"/>
  <c r="R7" i="19" s="1"/>
  <c r="V12" i="19"/>
  <c r="U12" i="19"/>
  <c r="V11" i="19"/>
  <c r="U11" i="19"/>
  <c r="R8" i="19"/>
  <c r="U6" i="19"/>
  <c r="J6" i="19"/>
  <c r="B6" i="19"/>
  <c r="N6" i="19" s="1"/>
  <c r="F34" i="18"/>
  <c r="F33" i="18"/>
  <c r="F32" i="18"/>
  <c r="F31" i="18"/>
  <c r="F30" i="18"/>
  <c r="F29" i="18"/>
  <c r="F28" i="18"/>
  <c r="F27" i="18"/>
  <c r="F26" i="18"/>
  <c r="F25" i="18"/>
  <c r="F24" i="18"/>
  <c r="F23" i="18"/>
  <c r="O21" i="18"/>
  <c r="O20" i="18"/>
  <c r="O19" i="18"/>
  <c r="R6" i="18" s="1"/>
  <c r="O18" i="18"/>
  <c r="O17" i="18"/>
  <c r="O16" i="18"/>
  <c r="O15" i="18"/>
  <c r="O14" i="18"/>
  <c r="V12" i="18"/>
  <c r="U12" i="18"/>
  <c r="V11" i="18"/>
  <c r="U11" i="18"/>
  <c r="R8" i="18"/>
  <c r="R7" i="18"/>
  <c r="U6" i="18"/>
  <c r="J6" i="18"/>
  <c r="B6" i="18"/>
  <c r="N7" i="18" s="1"/>
  <c r="F34" i="17"/>
  <c r="F33" i="17"/>
  <c r="F32" i="17"/>
  <c r="F31" i="17"/>
  <c r="F30" i="17"/>
  <c r="F29" i="17"/>
  <c r="F28" i="17"/>
  <c r="F27" i="17"/>
  <c r="F26" i="17"/>
  <c r="F25" i="17"/>
  <c r="F24" i="17"/>
  <c r="F23" i="17"/>
  <c r="O21" i="17"/>
  <c r="O20" i="17"/>
  <c r="O19" i="17"/>
  <c r="O18" i="17"/>
  <c r="O17" i="17"/>
  <c r="O16" i="17"/>
  <c r="O15" i="17"/>
  <c r="R6" i="17" s="1"/>
  <c r="O14" i="17"/>
  <c r="R7" i="17" s="1"/>
  <c r="V12" i="17"/>
  <c r="U12" i="17"/>
  <c r="V11" i="17"/>
  <c r="U11" i="17"/>
  <c r="R8" i="17"/>
  <c r="U6" i="17"/>
  <c r="J6" i="17"/>
  <c r="B6" i="17"/>
  <c r="N6" i="17" s="1"/>
  <c r="H6" i="1"/>
  <c r="R9" i="1"/>
  <c r="H6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O21" i="16"/>
  <c r="R6" i="16" s="1"/>
  <c r="O20" i="16"/>
  <c r="O19" i="16"/>
  <c r="O18" i="16"/>
  <c r="O17" i="16"/>
  <c r="O16" i="16"/>
  <c r="O15" i="16"/>
  <c r="O14" i="16"/>
  <c r="R7" i="16" s="1"/>
  <c r="V12" i="16"/>
  <c r="U12" i="16"/>
  <c r="V11" i="16"/>
  <c r="U11" i="16"/>
  <c r="R8" i="16"/>
  <c r="U6" i="16"/>
  <c r="J6" i="16"/>
  <c r="B6" i="16"/>
  <c r="N6" i="16" s="1"/>
  <c r="O19" i="1"/>
  <c r="O17" i="1"/>
  <c r="O21" i="1"/>
  <c r="O20" i="1"/>
  <c r="O18" i="1"/>
  <c r="O16" i="1"/>
  <c r="O15" i="1"/>
  <c r="O14" i="1"/>
  <c r="R8" i="1"/>
  <c r="B6" i="1"/>
  <c r="F23" i="1"/>
  <c r="F24" i="1"/>
  <c r="F25" i="1"/>
  <c r="F26" i="1"/>
  <c r="F27" i="1"/>
  <c r="F28" i="1"/>
  <c r="F29" i="1"/>
  <c r="F30" i="1"/>
  <c r="F31" i="1"/>
  <c r="F32" i="1"/>
  <c r="F33" i="1"/>
  <c r="F34" i="1"/>
  <c r="V12" i="1"/>
  <c r="J6" i="1"/>
  <c r="U6" i="1"/>
  <c r="Q27" i="2"/>
  <c r="U12" i="1"/>
  <c r="U11" i="1"/>
  <c r="R7" i="26" l="1"/>
  <c r="R6" i="26"/>
  <c r="V6" i="26" s="1"/>
  <c r="R7" i="27"/>
  <c r="R6" i="27"/>
  <c r="R9" i="27" s="1"/>
  <c r="H6" i="27" s="1"/>
  <c r="N7" i="27"/>
  <c r="N8" i="27"/>
  <c r="D6" i="26"/>
  <c r="F6" i="26" s="1"/>
  <c r="N7" i="26"/>
  <c r="N8" i="26"/>
  <c r="Q25" i="2"/>
  <c r="N8" i="1"/>
  <c r="N6" i="1"/>
  <c r="N7" i="1"/>
  <c r="R9" i="25"/>
  <c r="H6" i="25" s="1"/>
  <c r="D6" i="25"/>
  <c r="V6" i="25"/>
  <c r="N7" i="25"/>
  <c r="N8" i="25"/>
  <c r="F6" i="25"/>
  <c r="R9" i="24"/>
  <c r="H6" i="24" s="1"/>
  <c r="D6" i="24"/>
  <c r="V6" i="24"/>
  <c r="N7" i="24"/>
  <c r="N8" i="24"/>
  <c r="F6" i="24"/>
  <c r="V6" i="23"/>
  <c r="N8" i="23"/>
  <c r="D6" i="23"/>
  <c r="F6" i="23" s="1"/>
  <c r="R6" i="22"/>
  <c r="R7" i="22"/>
  <c r="R9" i="22"/>
  <c r="H6" i="22" s="1"/>
  <c r="D6" i="22"/>
  <c r="V6" i="22"/>
  <c r="F6" i="22"/>
  <c r="N8" i="22"/>
  <c r="N7" i="22"/>
  <c r="R9" i="21"/>
  <c r="H6" i="21" s="1"/>
  <c r="D6" i="21"/>
  <c r="V6" i="21"/>
  <c r="N7" i="21"/>
  <c r="N8" i="21"/>
  <c r="F6" i="21"/>
  <c r="R9" i="20"/>
  <c r="H6" i="20" s="1"/>
  <c r="V6" i="20"/>
  <c r="N8" i="20"/>
  <c r="D6" i="20"/>
  <c r="F6" i="20" s="1"/>
  <c r="N7" i="20"/>
  <c r="R9" i="19"/>
  <c r="H6" i="19" s="1"/>
  <c r="D6" i="19"/>
  <c r="V6" i="19"/>
  <c r="N7" i="19"/>
  <c r="N8" i="19"/>
  <c r="F6" i="19"/>
  <c r="R9" i="18"/>
  <c r="H6" i="18" s="1"/>
  <c r="V6" i="18"/>
  <c r="D6" i="18"/>
  <c r="F6" i="18"/>
  <c r="N6" i="18"/>
  <c r="N8" i="18"/>
  <c r="R9" i="17"/>
  <c r="H6" i="17" s="1"/>
  <c r="D6" i="17"/>
  <c r="V6" i="17"/>
  <c r="N7" i="17"/>
  <c r="F6" i="17"/>
  <c r="N8" i="17"/>
  <c r="R9" i="16"/>
  <c r="V6" i="16"/>
  <c r="D6" i="16"/>
  <c r="N8" i="16"/>
  <c r="N7" i="16"/>
  <c r="F6" i="16"/>
  <c r="R6" i="1"/>
  <c r="R7" i="1"/>
  <c r="R25" i="2"/>
  <c r="R27" i="2"/>
  <c r="D6" i="1"/>
  <c r="F6" i="1" s="1"/>
  <c r="V6" i="1"/>
  <c r="Q29" i="2"/>
  <c r="R28" i="2"/>
  <c r="Q28" i="2"/>
  <c r="Q23" i="2"/>
  <c r="R23" i="2"/>
  <c r="R29" i="2"/>
  <c r="C7" i="2"/>
  <c r="R26" i="2"/>
  <c r="I7" i="2"/>
  <c r="R9" i="26" l="1"/>
  <c r="H6" i="26" s="1"/>
  <c r="D6" i="27"/>
  <c r="F6" i="27" s="1"/>
  <c r="V6" i="27"/>
  <c r="V11" i="1"/>
  <c r="R24" i="2"/>
  <c r="Q24" i="2"/>
  <c r="Q26" i="2"/>
  <c r="R22" i="2" l="1"/>
  <c r="Q22" i="2"/>
  <c r="L7" i="2"/>
  <c r="F7" i="2"/>
</calcChain>
</file>

<file path=xl/sharedStrings.xml><?xml version="1.0" encoding="utf-8"?>
<sst xmlns="http://schemas.openxmlformats.org/spreadsheetml/2006/main" count="943" uniqueCount="119">
  <si>
    <t>MONTHLY BUDGET TEMPLATE</t>
  </si>
  <si>
    <t>Total Income</t>
  </si>
  <si>
    <t>Total Spent</t>
  </si>
  <si>
    <t>Leftover</t>
  </si>
  <si>
    <t>Savings Rate</t>
  </si>
  <si>
    <t>Bills Paid</t>
  </si>
  <si>
    <t>Spending Breakdown</t>
  </si>
  <si>
    <t>Budgeted</t>
  </si>
  <si>
    <t>Actual</t>
  </si>
  <si>
    <t>Needs Actual</t>
  </si>
  <si>
    <t>Needs</t>
  </si>
  <si>
    <t>Wants Actual</t>
  </si>
  <si>
    <t>Wants</t>
  </si>
  <si>
    <t>Savings Actual</t>
  </si>
  <si>
    <t>Savings</t>
  </si>
  <si>
    <t>Income</t>
  </si>
  <si>
    <t>Transactions Log</t>
  </si>
  <si>
    <t>Category Totals</t>
  </si>
  <si>
    <t>Source</t>
  </si>
  <si>
    <t>Amount</t>
  </si>
  <si>
    <t>Date</t>
  </si>
  <si>
    <t>Category</t>
  </si>
  <si>
    <t>Notes</t>
  </si>
  <si>
    <t>Total</t>
  </si>
  <si>
    <t>Subscriptions</t>
  </si>
  <si>
    <t>Gas</t>
  </si>
  <si>
    <t>Other</t>
  </si>
  <si>
    <t>Groceries</t>
  </si>
  <si>
    <t>Dining out</t>
  </si>
  <si>
    <t>Rent</t>
  </si>
  <si>
    <t>Shopping</t>
  </si>
  <si>
    <t>Credit Card</t>
  </si>
  <si>
    <t>Budget Split</t>
  </si>
  <si>
    <t>50/30/20</t>
  </si>
  <si>
    <t>Needs Target</t>
  </si>
  <si>
    <t>Wants Target</t>
  </si>
  <si>
    <t>Savings Target</t>
  </si>
  <si>
    <t>Recurring Bills</t>
  </si>
  <si>
    <t>Bill Name</t>
  </si>
  <si>
    <t>Paid?</t>
  </si>
  <si>
    <t>Savings &amp; Investments</t>
  </si>
  <si>
    <t>Account</t>
  </si>
  <si>
    <t>Yearly Budget Dashboard</t>
  </si>
  <si>
    <t>Total Income (YTD)</t>
  </si>
  <si>
    <t>Total Spent (YTD)</t>
  </si>
  <si>
    <t>Avg Savings Rate</t>
  </si>
  <si>
    <t>Net Position (YTD)</t>
  </si>
  <si>
    <t>Monthly Summary</t>
  </si>
  <si>
    <t>Jan.</t>
  </si>
  <si>
    <t>Feb.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</si>
  <si>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</si>
  <si>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</si>
  <si>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</si>
  <si>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</si>
  <si>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</si>
  <si>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</si>
  <si>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</si>
  <si>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</si>
  <si>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</si>
  <si>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</si>
  <si>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Expenses</t>
  </si>
  <si>
    <t>Savings Rate %</t>
  </si>
  <si>
    <t>Spending by Category</t>
  </si>
  <si>
    <t>Avg/Active Mo.</t>
  </si>
  <si>
    <t>YTD Total</t>
  </si>
  <si>
    <t>Starbucks Pay (W1)</t>
  </si>
  <si>
    <t>Starbucks Pay (W2)</t>
  </si>
  <si>
    <t>Recurring</t>
  </si>
  <si>
    <t>Misc</t>
  </si>
  <si>
    <t>Japanese Food</t>
  </si>
  <si>
    <t>Bakery</t>
  </si>
  <si>
    <t>Lemonade</t>
  </si>
  <si>
    <t>Whataburger</t>
  </si>
  <si>
    <t>Snacks</t>
  </si>
  <si>
    <t>Starbucks</t>
  </si>
  <si>
    <t>Luna's Shots</t>
  </si>
  <si>
    <t>McDonalds</t>
  </si>
  <si>
    <t>Credit Card Payment</t>
  </si>
  <si>
    <t>Sent to Arianna</t>
  </si>
  <si>
    <t>HBO Max</t>
  </si>
  <si>
    <t>Apple Music</t>
  </si>
  <si>
    <t>Walmart</t>
  </si>
  <si>
    <t>Target</t>
  </si>
  <si>
    <t>Dairy Queen</t>
  </si>
  <si>
    <t>Sonic</t>
  </si>
  <si>
    <t>Textbook (1)</t>
  </si>
  <si>
    <t>Coffee</t>
  </si>
  <si>
    <t>401K</t>
  </si>
  <si>
    <t>Textbook (2)</t>
  </si>
  <si>
    <t>Panda</t>
  </si>
  <si>
    <t>Vending Machine</t>
  </si>
  <si>
    <t>Amazon</t>
  </si>
  <si>
    <t>Chickfila</t>
  </si>
  <si>
    <t>Starbucks Pay</t>
  </si>
  <si>
    <t>Petco</t>
  </si>
  <si>
    <t>Gym</t>
  </si>
  <si>
    <t>Leftover from August</t>
  </si>
  <si>
    <t>BBQ</t>
  </si>
  <si>
    <t>want</t>
  </si>
  <si>
    <t>need</t>
  </si>
  <si>
    <t>Need</t>
  </si>
  <si>
    <t xml:space="preserve">Lululemon </t>
  </si>
  <si>
    <t>Laptop</t>
  </si>
  <si>
    <t>1. Income</t>
  </si>
  <si>
    <t>2. Savings &amp; Investments</t>
  </si>
  <si>
    <t>3. Recurring Bills</t>
  </si>
  <si>
    <t>4. Transactions Log</t>
  </si>
  <si>
    <t xml:space="preserve">Follow the numbers below for easy of use </t>
  </si>
  <si>
    <t>(Keep Cells Absolute)</t>
  </si>
  <si>
    <t>Feb</t>
  </si>
  <si>
    <t>Cash Variance</t>
  </si>
  <si>
    <t>70/20/10</t>
  </si>
  <si>
    <t>Types of Saving/Investments</t>
  </si>
  <si>
    <t>Roth-IRA</t>
  </si>
  <si>
    <t>Brokerage</t>
  </si>
  <si>
    <t>(Follow the numbers below for easy of use)</t>
  </si>
  <si>
    <t>Ring Cam Membership</t>
  </si>
  <si>
    <t xml:space="preserve">Gym 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</si>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</sst>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mm/dd/yyyy"/>
    <numFmt numFmtId="167" formatCode="_(\$* #,##0.00_);_(\$* \(#,##0.00\);_(\$* \-??_);_(@_)"/>
    <numFmt numFmtId="168" formatCode="&quot;$&quot;#,##0.00"/>
  </numFmts>
  <fonts count="26" x14ac:knownFonts="1">
    <font>
      <sz val="12"/>
      <color theme="1"/>
      <name val="Aptos Narrow"/>
      <charset val="1"/>
    </font>
    <font>
      <b/>
      <sz val="22"/>
      <color rgb="FFFFFFFF"/>
      <name val="Calibri"/>
      <family val="2"/>
    </font>
    <font>
      <b/>
      <sz val="10"/>
      <color rgb="FFFFFFFF"/>
      <name val="Calibri"/>
      <family val="2"/>
    </font>
    <font>
      <b/>
      <sz val="15"/>
      <color rgb="FF1F3864"/>
      <name val="Calibri"/>
      <family val="2"/>
    </font>
    <font>
      <sz val="9"/>
      <color rgb="FF1E7D32"/>
      <name val="Calibri"/>
      <family val="2"/>
    </font>
    <font>
      <sz val="9"/>
      <color rgb="FF000000"/>
      <name val="Calibri"/>
      <family val="2"/>
    </font>
    <font>
      <sz val="11"/>
      <name val="Cambria"/>
      <family val="1"/>
    </font>
    <font>
      <b/>
      <sz val="20"/>
      <color rgb="FFFFFFFF"/>
      <name val="Calibri"/>
      <family val="2"/>
    </font>
    <font>
      <b/>
      <sz val="16"/>
      <color rgb="FF1F3864"/>
      <name val="Calibri"/>
      <family val="2"/>
    </font>
    <font>
      <sz val="12"/>
      <color theme="1"/>
      <name val="Aptos Narrow"/>
    </font>
    <font>
      <b/>
      <sz val="12"/>
      <color theme="3"/>
      <name val="Aptos Narrow"/>
    </font>
    <font>
      <u/>
      <sz val="12"/>
      <color theme="1"/>
      <name val="Aptos Narrow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sz val="8"/>
      <name val="Aptos Narrow"/>
    </font>
    <font>
      <sz val="14"/>
      <color theme="1"/>
      <name val="Aptos Narrow"/>
    </font>
    <font>
      <b/>
      <sz val="12"/>
      <name val="Calibri"/>
      <family val="2"/>
    </font>
    <font>
      <b/>
      <sz val="16"/>
      <color rgb="FFFFFFFF"/>
      <name val="Calibri"/>
      <family val="2"/>
    </font>
    <font>
      <b/>
      <sz val="14"/>
      <color rgb="FF1F3864"/>
      <name val="Calibri"/>
      <family val="2"/>
    </font>
    <font>
      <b/>
      <sz val="14"/>
      <name val="Calibri"/>
      <family val="2"/>
    </font>
    <font>
      <sz val="14"/>
      <color rgb="FF1E7D32"/>
      <name val="Calibri"/>
      <family val="2"/>
    </font>
    <font>
      <i/>
      <sz val="14"/>
      <name val="Calibri"/>
      <family val="2"/>
    </font>
    <font>
      <b/>
      <sz val="14"/>
      <color theme="3"/>
      <name val="Aptos Narrow"/>
    </font>
    <font>
      <sz val="12"/>
      <color theme="0"/>
      <name val="Aptos Narrow"/>
    </font>
    <font>
      <b/>
      <sz val="12"/>
      <color theme="1"/>
      <name val="Aptos Narrow"/>
    </font>
    <font>
      <b/>
      <sz val="13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D6B"/>
        <bgColor rgb="FF1E7D32"/>
      </patternFill>
    </fill>
    <fill>
      <patternFill patternType="solid">
        <fgColor rgb="FFC9A227"/>
        <bgColor rgb="FFEEA18B"/>
      </patternFill>
    </fill>
    <fill>
      <patternFill patternType="solid">
        <fgColor rgb="FFEAF2F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rgb="FFB0B0B0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B0B0B0"/>
      </bottom>
      <diagonal/>
    </border>
    <border>
      <left style="thin">
        <color rgb="FFB0B0B0"/>
      </left>
      <right style="medium">
        <color indexed="64"/>
      </right>
      <top/>
      <bottom style="thin">
        <color rgb="FFB0B0B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64" fontId="0" fillId="0" borderId="0" xfId="0" applyNumberFormat="1"/>
    <xf numFmtId="164" fontId="4" fillId="0" borderId="1" xfId="0" applyNumberFormat="1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167" fontId="6" fillId="0" borderId="0" xfId="0" applyNumberFormat="1" applyFont="1"/>
    <xf numFmtId="0" fontId="6" fillId="0" borderId="0" xfId="0" applyFont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164" fontId="4" fillId="5" borderId="2" xfId="0" applyNumberFormat="1" applyFont="1" applyFill="1" applyBorder="1"/>
    <xf numFmtId="168" fontId="0" fillId="0" borderId="2" xfId="0" applyNumberFormat="1" applyBorder="1"/>
    <xf numFmtId="0" fontId="9" fillId="0" borderId="0" xfId="0" applyFont="1"/>
    <xf numFmtId="0" fontId="7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0" fillId="0" borderId="6" xfId="0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3" fillId="5" borderId="19" xfId="0" applyNumberFormat="1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165" fontId="3" fillId="5" borderId="20" xfId="0" applyNumberFormat="1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164" fontId="0" fillId="0" borderId="23" xfId="0" applyNumberFormat="1" applyBorder="1"/>
    <xf numFmtId="164" fontId="0" fillId="0" borderId="21" xfId="0" applyNumberFormat="1" applyBorder="1"/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164" fontId="5" fillId="5" borderId="24" xfId="0" applyNumberFormat="1" applyFont="1" applyFill="1" applyBorder="1"/>
    <xf numFmtId="164" fontId="4" fillId="5" borderId="7" xfId="0" applyNumberFormat="1" applyFont="1" applyFill="1" applyBorder="1"/>
    <xf numFmtId="0" fontId="0" fillId="0" borderId="25" xfId="0" applyBorder="1"/>
    <xf numFmtId="164" fontId="0" fillId="0" borderId="6" xfId="0" applyNumberFormat="1" applyBorder="1"/>
    <xf numFmtId="168" fontId="0" fillId="0" borderId="2" xfId="0" applyNumberFormat="1" applyBorder="1" applyAlignment="1">
      <alignment horizontal="right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5" fillId="0" borderId="0" xfId="0" applyFont="1"/>
    <xf numFmtId="0" fontId="16" fillId="5" borderId="2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64" fontId="8" fillId="5" borderId="2" xfId="0" applyNumberFormat="1" applyFont="1" applyFill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164" fontId="18" fillId="5" borderId="2" xfId="0" applyNumberFormat="1" applyFont="1" applyFill="1" applyBorder="1" applyAlignment="1">
      <alignment horizontal="center" vertical="center"/>
    </xf>
    <xf numFmtId="0" fontId="16" fillId="5" borderId="26" xfId="0" applyFont="1" applyFill="1" applyBorder="1"/>
    <xf numFmtId="0" fontId="16" fillId="5" borderId="28" xfId="0" applyFont="1" applyFill="1" applyBorder="1"/>
    <xf numFmtId="0" fontId="16" fillId="5" borderId="34" xfId="0" applyFont="1" applyFill="1" applyBorder="1"/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35" xfId="0" applyFont="1" applyFill="1" applyBorder="1"/>
    <xf numFmtId="0" fontId="16" fillId="5" borderId="27" xfId="0" applyFont="1" applyFill="1" applyBorder="1"/>
    <xf numFmtId="0" fontId="16" fillId="5" borderId="29" xfId="0" applyFont="1" applyFill="1" applyBorder="1"/>
    <xf numFmtId="164" fontId="8" fillId="5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5" fontId="8" fillId="5" borderId="3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1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1" fontId="24" fillId="0" borderId="2" xfId="0" applyNumberFormat="1" applyFont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166" fontId="0" fillId="0" borderId="22" xfId="0" applyNumberFormat="1" applyBorder="1"/>
    <xf numFmtId="0" fontId="0" fillId="0" borderId="23" xfId="0" applyBorder="1"/>
    <xf numFmtId="0" fontId="9" fillId="0" borderId="23" xfId="0" applyFont="1" applyBorder="1"/>
    <xf numFmtId="166" fontId="0" fillId="0" borderId="19" xfId="0" applyNumberFormat="1" applyBorder="1"/>
    <xf numFmtId="0" fontId="0" fillId="0" borderId="20" xfId="0" applyBorder="1"/>
    <xf numFmtId="168" fontId="0" fillId="0" borderId="20" xfId="0" applyNumberFormat="1" applyBorder="1" applyAlignment="1">
      <alignment horizontal="right"/>
    </xf>
    <xf numFmtId="0" fontId="0" fillId="0" borderId="21" xfId="0" applyBorder="1"/>
  </cellXfs>
  <cellStyles count="1">
    <cellStyle name="Normal" xfId="0" builtinId="0"/>
  </cellStyles>
  <dxfs count="16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D32"/>
      <rgbColor rgb="FF000080"/>
      <rgbColor rgb="FF459428"/>
      <rgbColor rgb="FF800080"/>
      <rgbColor rgb="FF0D8CBD"/>
      <rgbColor rgb="FFB3B3B3"/>
      <rgbColor rgb="FF808080"/>
      <rgbColor rgb="FFB0B0B0"/>
      <rgbColor rgb="FF8E2682"/>
      <rgbColor rgb="FFEAF2F0"/>
      <rgbColor rgb="FFC6E0B4"/>
      <rgbColor rgb="FF660066"/>
      <rgbColor rgb="FFCF642C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6EFCE"/>
      <rgbColor rgb="FFFFC7CE"/>
      <rgbColor rgb="FF99CCFF"/>
      <rgbColor rgb="FFEEA18B"/>
      <rgbColor rgb="FFCC99FF"/>
      <rgbColor rgb="FFF8CBAD"/>
      <rgbColor rgb="FF3366FF"/>
      <rgbColor rgb="FF33CCCC"/>
      <rgbColor rgb="FF99CC00"/>
      <rgbColor rgb="FFFFCC00"/>
      <rgbColor rgb="FFC9A227"/>
      <rgbColor rgb="FFE97132"/>
      <rgbColor rgb="FF666699"/>
      <rgbColor rgb="FF889AAA"/>
      <rgbColor rgb="FF1F3864"/>
      <rgbColor rgb="FF2E7D6B"/>
      <rgbColor rgb="FF006100"/>
      <rgbColor rgb="FF196B24"/>
      <rgbColor rgb="FF993300"/>
      <rgbColor rgb="FF993366"/>
      <rgbColor rgb="FF333399"/>
      <rgbColor rgb="FF165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'Monthly Spending Template'!$X$6:$X$8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'Monthly Spending Template'!$N$6:$N$8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FD45-85F6-6D42A0985EF8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'Monthly Spending Template'!$X$6:$X$8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'Monthly Spending Template'!$R$6:$R$8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5-FD45-85F6-6D42A098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Income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Income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Overview'!$E$11:$P$11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2654.2699999999995</c:v>
                </c:pt>
                <c:pt idx="8">
                  <c:v>2197.54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3D-4F4E-B468-CB8559209D4B}"/>
            </c:ext>
          </c:extLst>
        </c:ser>
        <c:ser>
          <c:idx val="1"/>
          <c:order val="1"/>
          <c:tx>
            <c:v>Total Expenses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Overview'!$E$15:$P$15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1937.27</c:v>
                </c:pt>
                <c:pt idx="8">
                  <c:v>369.63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3D-4F4E-B468-CB8559209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81916"/>
        <c:axId val="40099166"/>
      </c:lineChart>
      <c:catAx>
        <c:axId val="25081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40099166"/>
        <c:crosses val="autoZero"/>
        <c:auto val="1"/>
        <c:lblAlgn val="ctr"/>
        <c:lblOffset val="100"/>
        <c:noMultiLvlLbl val="0"/>
      </c:catAx>
      <c:valAx>
        <c:axId val="40099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25081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Needs / Wants / Savings — Actual Spend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Needs Actual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Overview'!$E$12:$P$12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981.61</c:v>
                </c:pt>
                <c:pt idx="8">
                  <c:v>232.24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5-CE42-A9EC-6EBF511EF5B4}"/>
            </c:ext>
          </c:extLst>
        </c:ser>
        <c:ser>
          <c:idx val="1"/>
          <c:order val="1"/>
          <c:tx>
            <c:v>Wants 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Overview'!$E$13:$P$13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955.65999999999985</c:v>
                </c:pt>
                <c:pt idx="8">
                  <c:v>137.38999999999999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5-CE42-A9EC-6EBF511EF5B4}"/>
            </c:ext>
          </c:extLst>
        </c:ser>
        <c:ser>
          <c:idx val="2"/>
          <c:order val="2"/>
          <c:tx>
            <c:v>Savings Actual</c:v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Overview'!$E$10:$P$10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'Yearly Overview'!$E$14:$P$14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677.65</c:v>
                </c:pt>
                <c:pt idx="8">
                  <c:v>365.67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5-CE42-A9EC-6EBF511EF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70192"/>
        <c:axId val="3358256"/>
      </c:barChart>
      <c:catAx>
        <c:axId val="309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358256"/>
        <c:crosses val="autoZero"/>
        <c:auto val="1"/>
        <c:lblAlgn val="ctr"/>
        <c:lblOffset val="100"/>
        <c:noMultiLvlLbl val="0"/>
      </c:catAx>
      <c:valAx>
        <c:axId val="3358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0970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Spending by Category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solidFill>
                <a:srgbClr val="000000">
                  <a:lumMod val="65000"/>
                  <a:lumOff val="35000"/>
                </a:srgbClr>
              </a:solidFill>
            </a:ln>
          </c:spPr>
          <c:dPt>
            <c:idx val="0"/>
            <c:bubble3D val="0"/>
            <c:spPr>
              <a:solidFill>
                <a:srgbClr val="125573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0B7-5748-A46B-C7E22FB18B7D}"/>
              </c:ext>
            </c:extLst>
          </c:dPt>
          <c:dPt>
            <c:idx val="1"/>
            <c:bubble3D val="0"/>
            <c:spPr>
              <a:solidFill>
                <a:srgbClr val="CF642C"/>
              </a:solidFill>
              <a:ln w="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0B7-5748-A46B-C7E22FB18B7D}"/>
              </c:ext>
            </c:extLst>
          </c:dPt>
          <c:dPt>
            <c:idx val="2"/>
            <c:bubble3D val="0"/>
            <c:spPr>
              <a:solidFill>
                <a:srgbClr val="165F20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0B7-5748-A46B-C7E22FB18B7D}"/>
              </c:ext>
            </c:extLst>
          </c:dPt>
          <c:dPt>
            <c:idx val="3"/>
            <c:bubble3D val="0"/>
            <c:spPr>
              <a:solidFill>
                <a:srgbClr val="0D8CBD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0B7-5748-A46B-C7E22FB18B7D}"/>
              </c:ext>
            </c:extLst>
          </c:dPt>
          <c:dPt>
            <c:idx val="4"/>
            <c:bubble3D val="0"/>
            <c:spPr>
              <a:solidFill>
                <a:srgbClr val="8E2682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0B7-5748-A46B-C7E22FB18B7D}"/>
              </c:ext>
            </c:extLst>
          </c:dPt>
          <c:dPt>
            <c:idx val="5"/>
            <c:bubble3D val="0"/>
            <c:spPr>
              <a:solidFill>
                <a:srgbClr val="459428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0B7-5748-A46B-C7E22FB18B7D}"/>
              </c:ext>
            </c:extLst>
          </c:dPt>
          <c:dPt>
            <c:idx val="6"/>
            <c:bubble3D val="0"/>
            <c:spPr>
              <a:solidFill>
                <a:srgbClr val="889AAA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0B7-5748-A46B-C7E22FB18B7D}"/>
              </c:ext>
            </c:extLst>
          </c:dPt>
          <c:dPt>
            <c:idx val="7"/>
            <c:bubble3D val="0"/>
            <c:spPr>
              <a:solidFill>
                <a:srgbClr val="EEA18B"/>
              </a:solidFill>
              <a:ln w="0">
                <a:solidFill>
                  <a:srgbClr val="000000">
                    <a:lumMod val="65000"/>
                    <a:lumOff val="3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0B7-5748-A46B-C7E22FB18B7D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r>
                      <a:rPr lang="en-US" baseline="0"/>
                      <a:t> </a:t>
                    </a:r>
                    <a:fld id="{3D0C1EB8-0A98-DE46-B080-DCD9C3520EAC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D43DBB74-A715-2E47-A84E-AA0562B0408E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0B7-5748-A46B-C7E22FB18B7D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0415BF7C-867D-B94C-93B2-2B297F825CE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B175621C-3E4D-FD40-9BB5-6EC83F49B8F3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0B7-5748-A46B-C7E22FB18B7D}"/>
                </c:ext>
              </c:extLst>
            </c:dLbl>
            <c:dLbl>
              <c:idx val="2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D3098DA1-1E23-2D41-95B3-7D2EC55742A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5F6964E5-E27D-6547-B348-382D039A1BBB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0B7-5748-A46B-C7E22FB18B7D}"/>
                </c:ext>
              </c:extLst>
            </c:dLbl>
            <c:dLbl>
              <c:idx val="3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F2FEA525-5D21-ED40-A921-F721595DAA81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254E0EB1-263B-C943-9120-52B0B485DCA1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0B7-5748-A46B-C7E22FB18B7D}"/>
                </c:ext>
              </c:extLst>
            </c:dLbl>
            <c:dLbl>
              <c:idx val="4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299F9E88-BD5C-B443-9472-D9EBF108840F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4FC229C8-863F-C447-8918-7F19555D5032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0B7-5748-A46B-C7E22FB18B7D}"/>
                </c:ext>
              </c:extLst>
            </c:dLbl>
            <c:dLbl>
              <c:idx val="5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3BE3573C-D102-2E4C-8A26-FC691EE73FDB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337763CC-E599-5F4C-82C8-7569B0A7F119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0B7-5748-A46B-C7E22FB18B7D}"/>
                </c:ext>
              </c:extLst>
            </c:dLbl>
            <c:dLbl>
              <c:idx val="6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AE132ABE-A7EA-0945-9B3F-7BD7092F29B4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740E3D63-0AF4-CF4D-B21C-B93154EF11D0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0B7-5748-A46B-C7E22FB18B7D}"/>
                </c:ext>
              </c:extLst>
            </c:dLbl>
            <c:dLbl>
              <c:idx val="7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Aptos Narrow"/>
                      </a:defRPr>
                    </a:pPr>
                    <a:fld id="{7C81F4E1-BEEC-3647-A17C-31A17542D078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[CATEGORY NAME]</a:t>
                    </a:fld>
                    <a:r>
                      <a:rPr lang="en-US" baseline="0"/>
                      <a:t>: </a:t>
                    </a:r>
                    <a:fld id="{E7FF8FBF-1E94-FD42-8455-305A0221298B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ptos Narrow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50B7-5748-A46B-C7E22FB18B7D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'Yearly Overview'!$C$22:$C$29</c:f>
              <c:strCache>
                <c:ptCount val="8"/>
                <c:pt idx="0">
                  <c:v>Subscriptions</c:v>
                </c:pt>
                <c:pt idx="1">
                  <c:v>Gas</c:v>
                </c:pt>
                <c:pt idx="2">
                  <c:v>Other</c:v>
                </c:pt>
                <c:pt idx="3">
                  <c:v>Groceries</c:v>
                </c:pt>
                <c:pt idx="4">
                  <c:v>Dining out</c:v>
                </c:pt>
                <c:pt idx="5">
                  <c:v>Rent</c:v>
                </c:pt>
                <c:pt idx="6">
                  <c:v>Shopping</c:v>
                </c:pt>
                <c:pt idx="7">
                  <c:v>Credit Card</c:v>
                </c:pt>
              </c:strCache>
            </c:strRef>
          </c:cat>
          <c:val>
            <c:numRef>
              <c:f>'Yearly Overview'!$R$22:$R$29</c:f>
              <c:numCache>
                <c:formatCode>\$#,##0.00</c:formatCode>
                <c:ptCount val="8"/>
                <c:pt idx="0">
                  <c:v>63.789999999999992</c:v>
                </c:pt>
                <c:pt idx="1">
                  <c:v>93.85</c:v>
                </c:pt>
                <c:pt idx="2">
                  <c:v>537.44999999999993</c:v>
                </c:pt>
                <c:pt idx="3">
                  <c:v>70</c:v>
                </c:pt>
                <c:pt idx="4">
                  <c:v>220.45000000000002</c:v>
                </c:pt>
                <c:pt idx="5">
                  <c:v>650</c:v>
                </c:pt>
                <c:pt idx="6">
                  <c:v>271.36</c:v>
                </c:pt>
                <c:pt idx="7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0B7-5748-A46B-C7E22FB18B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solidFill>
            <a:schemeClr val="tx1"/>
          </a:solidFill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Jan!$N$6:$N$8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5-4D42-B422-93FC16740E91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Jan!$R$6:$R$8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5-4D42-B422-93FC16740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Feb!$N$6:$N$8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D-CD4C-9549-E06210975538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Feb!$R$6:$R$8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D-CD4C-9549-E0621097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Mar!$N$6:$N$8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4-E648-B5E1-23D4637361D5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Mar!$R$6:$R$8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4-E648-B5E1-23D463736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Apr!$N$6:$N$8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2-1E4C-A4EE-3172101AEFA3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Apr!$R$6:$R$8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2-1E4C-A4EE-3172101AE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May!$N$6:$N$8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C-694C-AB23-C6003F7AA80E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May!$R$6:$R$8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C-694C-AB23-C6003F7AA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Jun!$N$6:$N$8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6-D540-B605-F8D96099B465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Jun!$R$6:$R$8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6-D540-B605-F8D96099B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Jul!$N$6:$N$8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E-6541-B68B-CDAE8612C6D2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Jul!$R$6:$R$8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E-6541-B68B-CDAE8612C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Aug!$N$6:$N$8</c:f>
              <c:numCache>
                <c:formatCode>\$#,##0.00</c:formatCode>
                <c:ptCount val="3"/>
                <c:pt idx="0">
                  <c:v>1327.1349999999998</c:v>
                </c:pt>
                <c:pt idx="1">
                  <c:v>796.28099999999984</c:v>
                </c:pt>
                <c:pt idx="2">
                  <c:v>530.85399999999993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F-3545-A0E2-B07956064C91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Aug!$R$6:$R$8</c:f>
              <c:numCache>
                <c:formatCode>\$#,##0.00</c:formatCode>
                <c:ptCount val="3"/>
                <c:pt idx="0">
                  <c:v>981.61</c:v>
                </c:pt>
                <c:pt idx="1">
                  <c:v>955.65999999999985</c:v>
                </c:pt>
                <c:pt idx="2">
                  <c:v>677.65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F-3545-A0E2-B07956064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Ref>
              <c:f>Sept!$X$5:$X$7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Sept!$N$6:$N$8</c:f>
              <c:numCache>
                <c:formatCode>\$#,##0.00</c:formatCode>
                <c:ptCount val="3"/>
                <c:pt idx="0">
                  <c:v>1098.77</c:v>
                </c:pt>
                <c:pt idx="1">
                  <c:v>659.26199999999994</c:v>
                </c:pt>
                <c:pt idx="2">
                  <c:v>439.50800000000004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8-BF4E-8B4D-420439201E2B}"/>
            </c:ext>
          </c:extLst>
        </c:ser>
        <c:ser>
          <c:idx val="1"/>
          <c:order val="1"/>
          <c:tx>
            <c:v>Actual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Ref>
              <c:f>Sept!$X$5:$X$7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Sept!$R$6:$R$8</c:f>
              <c:numCache>
                <c:formatCode>\$#,##0.00</c:formatCode>
                <c:ptCount val="3"/>
                <c:pt idx="0">
                  <c:v>232.24</c:v>
                </c:pt>
                <c:pt idx="1">
                  <c:v>137.38999999999999</c:v>
                </c:pt>
                <c:pt idx="2">
                  <c:v>365.67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8-BF4E-8B4D-42043920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Oct!$N$6:$N$8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1-314F-8664-BF4EE0BA6FC4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Oct!$R$6:$R$8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1-314F-8664-BF4EE0BA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Nov!$N$6:$N$8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3-6A4D-8C6E-BCA6608D7839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Nov!$R$6:$R$8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3-6A4D-8C6E-BCA6608D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Budgeted vs Actual 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Dec!$N$6:$N$8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7-4748-A55D-E642BE65FC9C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cat>
            <c:strLit>
              <c:ptCount val="1"/>
              <c:pt idx="0">
                <c:v>Budget</c:v>
              </c:pt>
            </c:strLit>
          </c:cat>
          <c:val>
            <c:numRef>
              <c:f>Dec!$R$6:$R$8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7-4748-A55D-E642BE65F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596900</xdr:colOff>
      <xdr:row>31</xdr:row>
      <xdr:rowOff>114300</xdr:rowOff>
    </xdr:from>
    <xdr:to>
      <xdr:col>20</xdr:col>
      <xdr:colOff>509460</xdr:colOff>
      <xdr:row>46</xdr:row>
      <xdr:rowOff>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508000</xdr:colOff>
      <xdr:row>31</xdr:row>
      <xdr:rowOff>127000</xdr:rowOff>
    </xdr:from>
    <xdr:to>
      <xdr:col>15</xdr:col>
      <xdr:colOff>381000</xdr:colOff>
      <xdr:row>45</xdr:row>
      <xdr:rowOff>79200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76200</xdr:colOff>
      <xdr:row>31</xdr:row>
      <xdr:rowOff>127000</xdr:rowOff>
    </xdr:from>
    <xdr:to>
      <xdr:col>10</xdr:col>
      <xdr:colOff>292100</xdr:colOff>
      <xdr:row>49</xdr:row>
      <xdr:rowOff>122880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EB221-94EB-6045-8A28-1EE03CCBE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68093-310D-D441-B0C0-CAAAC0E92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3CD84-3B53-D74A-909E-448490536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535AC-2CFB-0D40-B3BB-ABDBA9C1F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66949-0BBF-0041-BB6E-B5203803A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1BC7A-E0C6-074C-ABC2-A6E7772E4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22</xdr:row>
      <xdr:rowOff>196240</xdr:rowOff>
    </xdr:from>
    <xdr:to>
      <xdr:col>23</xdr:col>
      <xdr:colOff>177800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B5CAE-2EB5-194A-9036-582D598C5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8AB1F-0028-CA41-8F97-62922F2A0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355600</xdr:colOff>
      <xdr:row>21</xdr:row>
      <xdr:rowOff>107340</xdr:rowOff>
    </xdr:from>
    <xdr:to>
      <xdr:col>23</xdr:col>
      <xdr:colOff>165100</xdr:colOff>
      <xdr:row>36</xdr:row>
      <xdr:rowOff>115673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C1F07-3928-7246-94C9-64E227603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22</xdr:row>
      <xdr:rowOff>196240</xdr:rowOff>
    </xdr:from>
    <xdr:to>
      <xdr:col>23</xdr:col>
      <xdr:colOff>177800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2981D-3D73-5445-9459-ACA845E63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22</xdr:row>
      <xdr:rowOff>196240</xdr:rowOff>
    </xdr:from>
    <xdr:to>
      <xdr:col>23</xdr:col>
      <xdr:colOff>177800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BA678-A0FC-7447-A55E-FD25B6018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22</xdr:row>
      <xdr:rowOff>196240</xdr:rowOff>
    </xdr:from>
    <xdr:to>
      <xdr:col>23</xdr:col>
      <xdr:colOff>177800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075A9-03E3-5944-A777-D1270C6B0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AA615E9-0FE4-8049-8CB9-F6EB34AB4DDE}" name="IncomeTbl_MonthlySpendingTemplate57" displayName="IncomeTbl_MonthlySpendingTemplate57" ref="B13:C19" totalsRowShown="0" headerRowDxfId="145">
  <autoFilter ref="B13:C19" xr:uid="{1AA615E9-0FE4-8049-8CB9-F6EB34AB4DDE}"/>
  <tableColumns count="2">
    <tableColumn id="1" xr3:uid="{D7B18714-D8BB-C841-965D-8421B7649E69}" name="Source" dataDxfId="161"/>
    <tableColumn id="2" xr3:uid="{C30CC5B9-8ACF-0C4F-94E3-C350551BF2D4}" name="Amount" dataDxfId="16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F59E4F3-5284-A24D-A2F5-AB5F7231A2C9}" name="BillsTbl_MonthlySpendingTemplate59" displayName="BillsTbl_MonthlySpendingTemplate59" ref="B22:F34" totalsRowShown="0" headerRowDxfId="144">
  <autoFilter ref="B22:F34" xr:uid="{FF59E4F3-5284-A24D-A2F5-AB5F7231A2C9}"/>
  <tableColumns count="5">
    <tableColumn id="1" xr3:uid="{5B212395-E132-A14A-B6D6-1B89F6CC8084}" name="Bill Name" dataDxfId="159"/>
    <tableColumn id="2" xr3:uid="{5A50F2C4-3046-6441-BD58-406E49DF77B4}" name="Category" dataDxfId="158"/>
    <tableColumn id="3" xr3:uid="{2F2C7868-E9DD-F44F-9799-43899F43D811}" name="Amount" dataDxfId="157"/>
    <tableColumn id="4" xr3:uid="{D524E5C6-D25B-284B-9CC6-8EEE0BE06B04}" name="Paid?" dataDxfId="156"/>
    <tableColumn id="5" xr3:uid="{CF2C0ABB-20E5-D545-B9B7-3E04B16C930D}" name="Actual" dataDxfId="155">
      <calculatedColumnFormula>IF(E23=TRUE(),D23,0)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3CA06A7-9A51-0946-A8AC-102A73C278D2}" name="SavingsTbl_MonthlySpendingTemplate60" displayName="SavingsTbl_MonthlySpendingTemplate60" ref="E13:F18" totalsRowShown="0" headerRowDxfId="146">
  <autoFilter ref="E13:F18" xr:uid="{D3CA06A7-9A51-0946-A8AC-102A73C278D2}"/>
  <tableColumns count="2">
    <tableColumn id="1" xr3:uid="{D848418A-5CE4-CD4A-98C9-4694F0FA210C}" name="Account" dataDxfId="154"/>
    <tableColumn id="2" xr3:uid="{5ED1276D-A07B-5549-9693-40EDA0029FFC}" name="Amount" dataDxfId="15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55C75B6-4088-8B43-BC52-7FD6330494DE}" name="IncomeTbl_MonthlySpendingTemplate5724" displayName="IncomeTbl_MonthlySpendingTemplate5724" ref="B13:C19" totalsRowShown="0" headerRowDxfId="143">
  <autoFilter ref="B13:C19" xr:uid="{1AA615E9-0FE4-8049-8CB9-F6EB34AB4DDE}"/>
  <tableColumns count="2">
    <tableColumn id="1" xr3:uid="{0A49DE18-7A41-B748-81A2-237A329EF539}" name="Source" dataDxfId="142"/>
    <tableColumn id="2" xr3:uid="{E66F2606-3509-BC47-854D-AB8BA774D13E}" name="Amount" dataDxfId="14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2050823-CCF3-A940-A617-8D5A9EC58CF0}" name="BillsTbl_MonthlySpendingTemplate5932" displayName="BillsTbl_MonthlySpendingTemplate5932" ref="B22:F34" totalsRowShown="0" headerRowDxfId="140">
  <autoFilter ref="B22:F34" xr:uid="{FF59E4F3-5284-A24D-A2F5-AB5F7231A2C9}"/>
  <tableColumns count="5">
    <tableColumn id="1" xr3:uid="{6CA1D267-7078-8C4B-A2C4-22FB8BEA57F9}" name="Bill Name" dataDxfId="139"/>
    <tableColumn id="2" xr3:uid="{5CECCEFA-435C-764D-97B5-E5BD284A841E}" name="Category" dataDxfId="138"/>
    <tableColumn id="3" xr3:uid="{FCA7AEEF-7FE4-6049-9171-BD199E5172C4}" name="Amount" dataDxfId="137"/>
    <tableColumn id="4" xr3:uid="{3C495B45-B628-004D-A2E2-FD3FCF6507A6}" name="Paid?" dataDxfId="136"/>
    <tableColumn id="5" xr3:uid="{AEEC3DA1-C74B-6245-B6A0-B93B2E9A5B67}" name="Actual" dataDxfId="135">
      <calculatedColumnFormula>IF(E23=TRUE(),D23,0)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0851A51-C297-974A-AECE-0505220CB8E2}" name="SavingsTbl_MonthlySpendingTemplate6037" displayName="SavingsTbl_MonthlySpendingTemplate6037" ref="E13:F18" totalsRowShown="0" headerRowDxfId="134">
  <autoFilter ref="E13:F18" xr:uid="{D3CA06A7-9A51-0946-A8AC-102A73C278D2}"/>
  <tableColumns count="2">
    <tableColumn id="1" xr3:uid="{C9618CCB-8149-EA4B-BA84-4C4F1B92A742}" name="Account" dataDxfId="133"/>
    <tableColumn id="2" xr3:uid="{5507B692-7F8F-4245-BB58-163531921E69}" name="Amount" dataDxfId="13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64216F1-E7A4-0842-AE46-9CB0D54636D1}" name="IncomeTbl_MonthlySpendingTemplate572445" displayName="IncomeTbl_MonthlySpendingTemplate572445" ref="B13:C19" totalsRowShown="0" headerRowDxfId="131">
  <autoFilter ref="B13:C19" xr:uid="{1AA615E9-0FE4-8049-8CB9-F6EB34AB4DDE}"/>
  <tableColumns count="2">
    <tableColumn id="1" xr3:uid="{0DAE4F79-2773-1446-8D72-FFF1F0A08BAB}" name="Source" dataDxfId="130"/>
    <tableColumn id="2" xr3:uid="{816FFF94-784A-134C-AAEB-21A94BBBA0DF}" name="Amount" dataDxfId="12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4646656-515A-C04B-8617-29F2A8E69E2E}" name="BillsTbl_MonthlySpendingTemplate593250" displayName="BillsTbl_MonthlySpendingTemplate593250" ref="B22:F34" totalsRowShown="0" headerRowDxfId="128">
  <autoFilter ref="B22:F34" xr:uid="{FF59E4F3-5284-A24D-A2F5-AB5F7231A2C9}"/>
  <tableColumns count="5">
    <tableColumn id="1" xr3:uid="{9D0164CA-95B5-9B45-94AC-6EE2F1D81337}" name="Bill Name" dataDxfId="127"/>
    <tableColumn id="2" xr3:uid="{3326A84F-331F-6746-B347-EEC146F5F35B}" name="Category" dataDxfId="126"/>
    <tableColumn id="3" xr3:uid="{F0A5991A-B659-C64A-924F-649D8C601C7E}" name="Amount" dataDxfId="125"/>
    <tableColumn id="4" xr3:uid="{ADBEBC0B-9D94-4647-A4E7-EE164CA3BD49}" name="Paid?" dataDxfId="124"/>
    <tableColumn id="5" xr3:uid="{8D825965-C25F-4645-A6C9-E073B1B336B2}" name="Actual" dataDxfId="123">
      <calculatedColumnFormula>IF(E23=TRUE(),D23,0)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EBE798C-04CC-2848-9DFC-E521A198456A}" name="SavingsTbl_MonthlySpendingTemplate603754" displayName="SavingsTbl_MonthlySpendingTemplate603754" ref="E13:F18" totalsRowShown="0" headerRowDxfId="122">
  <autoFilter ref="E13:F18" xr:uid="{D3CA06A7-9A51-0946-A8AC-102A73C278D2}"/>
  <tableColumns count="2">
    <tableColumn id="1" xr3:uid="{F1049615-568C-3846-BAFB-959396F54B9B}" name="Account" dataDxfId="121"/>
    <tableColumn id="2" xr3:uid="{E475106E-41A4-1C47-8736-2751BB0AD915}" name="Amount" dataDxfId="12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C0A1021-81F7-9140-B9B7-782A54349651}" name="IncomeTbl_MonthlySpendingTemplate5724455561" displayName="IncomeTbl_MonthlySpendingTemplate5724455561" ref="B13:C19" totalsRowShown="0" headerRowDxfId="107">
  <autoFilter ref="B13:C19" xr:uid="{1AA615E9-0FE4-8049-8CB9-F6EB34AB4DDE}"/>
  <tableColumns count="2">
    <tableColumn id="1" xr3:uid="{6B2CE9AE-3AF8-2647-B96E-EAA4BF5687C5}" name="Source" dataDxfId="106"/>
    <tableColumn id="2" xr3:uid="{1516BEC0-C28B-EF45-92BD-C33E58083274}" name="Amount" dataDxfId="105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43B4FF2-4BA0-B74B-8793-4A09857A1BB8}" name="BillsTbl_MonthlySpendingTemplate5932505662" displayName="BillsTbl_MonthlySpendingTemplate5932505662" ref="B22:F34" totalsRowShown="0" headerRowDxfId="104">
  <autoFilter ref="B22:F34" xr:uid="{FF59E4F3-5284-A24D-A2F5-AB5F7231A2C9}"/>
  <tableColumns count="5">
    <tableColumn id="1" xr3:uid="{B7423C3F-18AC-CC41-A19B-FE437F8D1C0C}" name="Bill Name" dataDxfId="103"/>
    <tableColumn id="2" xr3:uid="{C7DBD8A0-B362-874B-871A-FE8B19703A7A}" name="Category" dataDxfId="102"/>
    <tableColumn id="3" xr3:uid="{AA87512A-493D-F144-BAB6-90022C17D4CA}" name="Amount" dataDxfId="101"/>
    <tableColumn id="4" xr3:uid="{3B57E4AE-989B-074B-8EB1-C8D52003EE12}" name="Paid?" dataDxfId="100"/>
    <tableColumn id="5" xr3:uid="{D61A8AA6-35D4-BF4F-93D0-636F20001043}" name="Actual" dataDxfId="99">
      <calculatedColumnFormula>IF(E23=TRUE(),D23,0)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2C1428E-DB35-D540-9288-BF1932C522BB}" name="SavingsTbl_MonthlySpendingTemplate6037545863" displayName="SavingsTbl_MonthlySpendingTemplate6037545863" ref="E13:F18" totalsRowShown="0" headerRowDxfId="98">
  <autoFilter ref="E13:F18" xr:uid="{D3CA06A7-9A51-0946-A8AC-102A73C278D2}"/>
  <tableColumns count="2">
    <tableColumn id="1" xr3:uid="{4F4908A8-7C3B-384E-B7B2-1055A2E45809}" name="Account" dataDxfId="97"/>
    <tableColumn id="2" xr3:uid="{A6033F42-8144-5648-898F-F6E5F032B5CF}" name="Amount" dataDxfId="9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36A2090-A3FB-5744-8BE2-6EF6EF6DFFD7}" name="IncomeTbl_MonthlySpendingTemplate57244555" displayName="IncomeTbl_MonthlySpendingTemplate57244555" ref="B13:C19" totalsRowShown="0" headerRowDxfId="119">
  <autoFilter ref="B13:C19" xr:uid="{1AA615E9-0FE4-8049-8CB9-F6EB34AB4DDE}"/>
  <tableColumns count="2">
    <tableColumn id="1" xr3:uid="{46D017BC-953D-1347-B532-0F0684FFA863}" name="Source" dataDxfId="118"/>
    <tableColumn id="2" xr3:uid="{BCFCC12B-9421-894F-BE4E-F15C7636A737}" name="Amount" dataDxfId="117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7E73AC02-5CAB-2440-9376-447559242FF2}" name="BillsTbl_MonthlySpendingTemplate59325056" displayName="BillsTbl_MonthlySpendingTemplate59325056" ref="B22:F34" totalsRowShown="0" headerRowDxfId="116">
  <autoFilter ref="B22:F34" xr:uid="{FF59E4F3-5284-A24D-A2F5-AB5F7231A2C9}"/>
  <tableColumns count="5">
    <tableColumn id="1" xr3:uid="{0391A7F9-C324-7D44-B290-D28FA217960D}" name="Bill Name" dataDxfId="115"/>
    <tableColumn id="2" xr3:uid="{06D0F479-432A-7747-B533-08F445CF3ED9}" name="Category" dataDxfId="114"/>
    <tableColumn id="3" xr3:uid="{B662507C-F665-894E-ADA4-8A85B29753BD}" name="Amount" dataDxfId="113"/>
    <tableColumn id="4" xr3:uid="{2278B155-8135-A440-BB67-002E61B842A4}" name="Paid?" dataDxfId="112"/>
    <tableColumn id="5" xr3:uid="{9C9D1E76-6343-4241-9B41-9C826D8C5B94}" name="Actual" dataDxfId="111">
      <calculatedColumnFormula>IF(E23=TRUE(),D23,0)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AC23190-48BB-D040-9C53-8290BC18F9A8}" name="SavingsTbl_MonthlySpendingTemplate60375458" displayName="SavingsTbl_MonthlySpendingTemplate60375458" ref="E13:F18" totalsRowShown="0" headerRowDxfId="110">
  <autoFilter ref="E13:F18" xr:uid="{D3CA06A7-9A51-0946-A8AC-102A73C278D2}"/>
  <tableColumns count="2">
    <tableColumn id="1" xr3:uid="{B0C239C7-19F6-AC40-87B4-A6721179EB3D}" name="Account" dataDxfId="109"/>
    <tableColumn id="2" xr3:uid="{23F8B5CD-CC03-F346-83DE-7F5BD5E7259C}" name="Amount" dataDxfId="108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1902F1C-9733-8945-BBC7-E7EEC2DBE8B3}" name="IncomeTbl_MonthlySpendingTemplate5724455564" displayName="IncomeTbl_MonthlySpendingTemplate5724455564" ref="B13:C19" totalsRowShown="0" headerRowDxfId="95">
  <autoFilter ref="B13:C19" xr:uid="{1AA615E9-0FE4-8049-8CB9-F6EB34AB4DDE}"/>
  <tableColumns count="2">
    <tableColumn id="1" xr3:uid="{2C9E6670-EE62-2441-8D74-C306A4F72386}" name="Source" dataDxfId="94"/>
    <tableColumn id="2" xr3:uid="{E581887E-C647-C243-BB83-7F9CAFAE1004}" name="Amount" dataDxfId="9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B849010F-779A-424E-A190-FBA9852A41A5}" name="BillsTbl_MonthlySpendingTemplate5932505665" displayName="BillsTbl_MonthlySpendingTemplate5932505665" ref="B22:F34" totalsRowShown="0" headerRowDxfId="92">
  <autoFilter ref="B22:F34" xr:uid="{FF59E4F3-5284-A24D-A2F5-AB5F7231A2C9}"/>
  <tableColumns count="5">
    <tableColumn id="1" xr3:uid="{76678C24-0389-5145-9A01-DA04E7C1D683}" name="Bill Name" dataDxfId="91"/>
    <tableColumn id="2" xr3:uid="{1035CCAF-FC12-7D49-955F-A6801ED12DE1}" name="Category" dataDxfId="90"/>
    <tableColumn id="3" xr3:uid="{E92C7F84-A2C5-3146-9190-9A275457A01D}" name="Amount" dataDxfId="89"/>
    <tableColumn id="4" xr3:uid="{F83CDD72-7F79-0942-AA1D-FDBC00F10218}" name="Paid?" dataDxfId="88"/>
    <tableColumn id="5" xr3:uid="{B38E5C8E-782C-0F42-8347-C7CC0E1C1E61}" name="Actual" dataDxfId="87">
      <calculatedColumnFormula>IF(E23=TRUE(),D23,0)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DF69048-498A-5746-8402-F283105676ED}" name="SavingsTbl_MonthlySpendingTemplate6037545866" displayName="SavingsTbl_MonthlySpendingTemplate6037545866" ref="E13:F18" totalsRowShown="0" headerRowDxfId="86">
  <autoFilter ref="E13:F18" xr:uid="{D3CA06A7-9A51-0946-A8AC-102A73C278D2}"/>
  <tableColumns count="2">
    <tableColumn id="1" xr3:uid="{08D6DCF8-F393-EF4F-BF52-E4157CCFF7CE}" name="Account" dataDxfId="85"/>
    <tableColumn id="2" xr3:uid="{6CC60CE1-6FE3-1345-AEBB-DCD277DEAE10}" name="Amount" dataDxfId="8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9295134-9027-6143-A22C-2C68B261A4FD}" name="IncomeTbl_MonthlySpendingTemplate572445556467" displayName="IncomeTbl_MonthlySpendingTemplate572445556467" ref="B13:C19" totalsRowShown="0" headerRowDxfId="83">
  <autoFilter ref="B13:C19" xr:uid="{1AA615E9-0FE4-8049-8CB9-F6EB34AB4DDE}"/>
  <tableColumns count="2">
    <tableColumn id="1" xr3:uid="{BD877261-2324-DE4D-8D66-DB420B5BB15C}" name="Source" dataDxfId="82"/>
    <tableColumn id="2" xr3:uid="{8CE751E4-FA8E-8F45-B1E6-F35ADBB70AF7}" name="Amount" dataDxfId="81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33C9074-7640-7A46-ADAC-FD3658024AFF}" name="BillsTbl_MonthlySpendingTemplate593250566568" displayName="BillsTbl_MonthlySpendingTemplate593250566568" ref="B22:F34" totalsRowShown="0" headerRowDxfId="80">
  <autoFilter ref="B22:F34" xr:uid="{FF59E4F3-5284-A24D-A2F5-AB5F7231A2C9}"/>
  <tableColumns count="5">
    <tableColumn id="1" xr3:uid="{65F6BCAC-9936-5E45-A195-D5171ADFE96C}" name="Bill Name" dataDxfId="79"/>
    <tableColumn id="2" xr3:uid="{EFA372C5-E611-9648-9675-3BE75554BBE4}" name="Category" dataDxfId="78"/>
    <tableColumn id="3" xr3:uid="{618F8EA5-4F32-DF43-A73D-D8B061D9DC45}" name="Amount" dataDxfId="77"/>
    <tableColumn id="4" xr3:uid="{B25CDE87-CA40-E54F-923D-128B66242CA1}" name="Paid?" dataDxfId="76"/>
    <tableColumn id="5" xr3:uid="{7C095FA7-C162-904F-B6DB-E4BACB0FD1A4}" name="Actual" dataDxfId="75">
      <calculatedColumnFormula>IF(E23=TRUE(),D23,0)</calculatedColumnFormula>
    </tableColumn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ED43AB0-C249-6542-A0AC-5C86491EE339}" name="SavingsTbl_MonthlySpendingTemplate603754586669" displayName="SavingsTbl_MonthlySpendingTemplate603754586669" ref="E13:F18" totalsRowShown="0" headerRowDxfId="74">
  <autoFilter ref="E13:F18" xr:uid="{D3CA06A7-9A51-0946-A8AC-102A73C278D2}"/>
  <tableColumns count="2">
    <tableColumn id="1" xr3:uid="{AA5552A7-00A4-2C43-A8E8-F5B8B7E0DCD8}" name="Account" dataDxfId="73"/>
    <tableColumn id="2" xr3:uid="{734FAE5B-2C02-F843-B9DC-E4C4F8FE10DD}" name="Amount" dataDxfId="7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DD6D1013-7081-954C-A9B9-4EA2D6B739CB}" name="IncomeTbl_MonthlySpendingTemplate57244555646770" displayName="IncomeTbl_MonthlySpendingTemplate57244555646770" ref="B13:C19" totalsRowShown="0" headerRowDxfId="71">
  <autoFilter ref="B13:C19" xr:uid="{1AA615E9-0FE4-8049-8CB9-F6EB34AB4DDE}"/>
  <tableColumns count="2">
    <tableColumn id="1" xr3:uid="{32C82427-977E-084B-AB29-BD0E762B32FF}" name="Source" dataDxfId="70"/>
    <tableColumn id="2" xr3:uid="{30770196-478E-754A-B86B-4F6886DCF58A}" name="Amount" dataDxfId="69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79E857F-74E7-454D-9A49-0886C7175830}" name="BillsTbl_MonthlySpendingTemplate59325056656871" displayName="BillsTbl_MonthlySpendingTemplate59325056656871" ref="B22:F34" totalsRowShown="0" headerRowDxfId="68">
  <autoFilter ref="B22:F34" xr:uid="{FF59E4F3-5284-A24D-A2F5-AB5F7231A2C9}"/>
  <tableColumns count="5">
    <tableColumn id="1" xr3:uid="{F52457BC-A111-B84A-95B8-6582EDD8364D}" name="Bill Name" dataDxfId="67"/>
    <tableColumn id="2" xr3:uid="{B8CA22F1-F467-BA43-8C77-80987C082D96}" name="Category" dataDxfId="66"/>
    <tableColumn id="3" xr3:uid="{531A6C3B-6E17-A040-B4A5-C84DE4906ED6}" name="Amount" dataDxfId="65"/>
    <tableColumn id="4" xr3:uid="{31A0DFEF-E940-CB4D-BAAF-6A2D62C44C77}" name="Paid?" dataDxfId="64"/>
    <tableColumn id="5" xr3:uid="{C7ED6A61-982F-2E4B-B801-B19CA5A275AE}" name="Actual" dataDxfId="63">
      <calculatedColumnFormula>IF(E23=TRUE(),D23,0)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B092431A-25C7-5F44-A6DE-2498D9D01802}" name="SavingsTbl_MonthlySpendingTemplate60375458666972" displayName="SavingsTbl_MonthlySpendingTemplate60375458666972" ref="E13:F18" totalsRowShown="0" headerRowDxfId="62">
  <autoFilter ref="E13:F18" xr:uid="{D3CA06A7-9A51-0946-A8AC-102A73C278D2}"/>
  <tableColumns count="2">
    <tableColumn id="1" xr3:uid="{B7296214-7D12-F245-837F-E13A4806DAD6}" name="Account" dataDxfId="61"/>
    <tableColumn id="2" xr3:uid="{133BC1F3-B3CE-214F-B67C-660CBB45D1C0}" name="Amount" dataDxfId="6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BAA8F06-8CEF-D34D-A1B6-86C378A3185B}" name="IncomeTbl_MonthlySpendingTemplate578285" displayName="IncomeTbl_MonthlySpendingTemplate578285" ref="B13:C19" totalsRowShown="0" headerRowDxfId="11">
  <autoFilter ref="B13:C19" xr:uid="{1AA615E9-0FE4-8049-8CB9-F6EB34AB4DDE}"/>
  <tableColumns count="2">
    <tableColumn id="1" xr3:uid="{C512AC7B-3BE0-154B-A320-F9D5AD3D63A4}" name="Source" dataDxfId="10"/>
    <tableColumn id="2" xr3:uid="{82D0C673-5111-C042-9197-9923A6BBAA46}" name="Amount" dataDxfId="9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6D60900-2F4F-004B-8553-DEA7E97CE0A4}" name="BillsTbl_MonthlySpendingTemplate598386" displayName="BillsTbl_MonthlySpendingTemplate598386" ref="B22:F34" totalsRowShown="0" headerRowDxfId="8">
  <autoFilter ref="B22:F34" xr:uid="{FF59E4F3-5284-A24D-A2F5-AB5F7231A2C9}"/>
  <tableColumns count="5">
    <tableColumn id="1" xr3:uid="{417C52F0-7B26-BE45-9246-CD31B4C08B65}" name="Bill Name" dataDxfId="7"/>
    <tableColumn id="2" xr3:uid="{28DF4F7B-E455-524F-BCB9-8A6612609BEE}" name="Category" dataDxfId="6"/>
    <tableColumn id="3" xr3:uid="{409E1403-1822-F043-9A39-2AFAEB4B3736}" name="Amount" dataDxfId="5"/>
    <tableColumn id="4" xr3:uid="{C13D7B25-3E14-3E4A-9F8D-3AF391A209CE}" name="Paid?" dataDxfId="4"/>
    <tableColumn id="5" xr3:uid="{9707FCC3-6BF6-8A48-83E9-5240391CD3C8}" name="Actual" dataDxfId="3">
      <calculatedColumnFormula>IF(E23=TRUE(),D23,0)</calculatedColumnFormula>
    </tableColumn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8A15E103-4F75-214B-BA5B-EC06B3072DC0}" name="SavingsTbl_MonthlySpendingTemplate608487" displayName="SavingsTbl_MonthlySpendingTemplate608487" ref="E13:F18" totalsRowShown="0" headerRowDxfId="2">
  <autoFilter ref="E13:F18" xr:uid="{D3CA06A7-9A51-0946-A8AC-102A73C278D2}"/>
  <tableColumns count="2">
    <tableColumn id="1" xr3:uid="{EC2F7F55-ACE1-C649-A137-C7E94956D641}" name="Account" dataDxfId="1"/>
    <tableColumn id="2" xr3:uid="{FBF563C0-24C9-0D47-B099-BA6C43628D08}" name="Amount" dataDxfId="0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E3EF0353-D4B2-CD47-B373-122C307C2083}" name="IncomeTbl_MonthlySpendingTemplate5782" displayName="IncomeTbl_MonthlySpendingTemplate5782" ref="B13:C19" totalsRowShown="0" headerRowDxfId="23">
  <autoFilter ref="B13:C19" xr:uid="{1AA615E9-0FE4-8049-8CB9-F6EB34AB4DDE}"/>
  <tableColumns count="2">
    <tableColumn id="1" xr3:uid="{9FAF7BB8-6957-2F46-BC44-81257E1A7C4A}" name="Source" dataDxfId="22"/>
    <tableColumn id="2" xr3:uid="{267BA223-D803-D84F-9072-E30D343D7A47}" name="Amount" dataDxfId="2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A617290C-0790-9B47-B5FB-269A89C1FBC2}" name="BillsTbl_MonthlySpendingTemplate5983" displayName="BillsTbl_MonthlySpendingTemplate5983" ref="B22:F34" totalsRowShown="0" headerRowDxfId="20">
  <autoFilter ref="B22:F34" xr:uid="{FF59E4F3-5284-A24D-A2F5-AB5F7231A2C9}"/>
  <tableColumns count="5">
    <tableColumn id="1" xr3:uid="{B2CA52B4-8C5C-E345-B68D-FDB4F3E8D52A}" name="Bill Name" dataDxfId="19"/>
    <tableColumn id="2" xr3:uid="{D7F48DE2-22FE-5047-8BA1-683837066023}" name="Category" dataDxfId="18"/>
    <tableColumn id="3" xr3:uid="{7AAC1F4F-EE98-5149-8460-091E5B7757B9}" name="Amount" dataDxfId="17"/>
    <tableColumn id="4" xr3:uid="{899374E0-C5B4-3D4A-BB7A-55B284060713}" name="Paid?" dataDxfId="16"/>
    <tableColumn id="5" xr3:uid="{24DB5D09-91E8-9D47-A787-82AEB441E7C6}" name="Actual" dataDxfId="15">
      <calculatedColumnFormula>IF(E23=TRUE(),D23,0)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F810FF2F-A9F2-4E48-98D3-E6141906346D}" name="SavingsTbl_MonthlySpendingTemplate6084" displayName="SavingsTbl_MonthlySpendingTemplate6084" ref="E13:F18" totalsRowShown="0" headerRowDxfId="14">
  <autoFilter ref="E13:F18" xr:uid="{D3CA06A7-9A51-0946-A8AC-102A73C278D2}"/>
  <tableColumns count="2">
    <tableColumn id="1" xr3:uid="{62D14F88-CAA0-8F43-A468-9595AEEC9794}" name="Account" dataDxfId="13"/>
    <tableColumn id="2" xr3:uid="{EA794FB8-03E8-7942-AB1E-363FE960C0A8}" name="Amount" dataDxfId="1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9EA7964-12D4-6144-8261-D349A80B1725}" name="IncomeTbl_MonthlySpendingTemplate5724455564677073" displayName="IncomeTbl_MonthlySpendingTemplate5724455564677073" ref="B13:C19" totalsRowShown="0" headerRowDxfId="59">
  <autoFilter ref="B13:C19" xr:uid="{1AA615E9-0FE4-8049-8CB9-F6EB34AB4DDE}"/>
  <tableColumns count="2">
    <tableColumn id="1" xr3:uid="{45D057AB-3FEC-D24B-9F07-2BED74578AFF}" name="Source" dataDxfId="58"/>
    <tableColumn id="2" xr3:uid="{8C39E1A2-FA0E-EB41-9F50-8C667272DCD2}" name="Amount" dataDxfId="57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83514A7D-B1DB-714E-AEA1-76D49E348F63}" name="BillsTbl_MonthlySpendingTemplate5932505665687174" displayName="BillsTbl_MonthlySpendingTemplate5932505665687174" ref="B22:F34" totalsRowShown="0" headerRowDxfId="56">
  <autoFilter ref="B22:F34" xr:uid="{FF59E4F3-5284-A24D-A2F5-AB5F7231A2C9}"/>
  <tableColumns count="5">
    <tableColumn id="1" xr3:uid="{5AAD73DA-15A6-8B46-BDF9-A46C9A0D8E03}" name="Bill Name" dataDxfId="55"/>
    <tableColumn id="2" xr3:uid="{6AA96BDD-ED08-5C43-AB3F-DA39DDCB10BE}" name="Category" dataDxfId="54"/>
    <tableColumn id="3" xr3:uid="{3E8DBBA9-6E91-0543-A603-F3ADC02C2CB1}" name="Amount" dataDxfId="53"/>
    <tableColumn id="4" xr3:uid="{F070E6DD-DA15-2B46-835D-4C3E3B9B3F67}" name="Paid?" dataDxfId="52"/>
    <tableColumn id="5" xr3:uid="{C08AF521-909F-BE45-A35C-603573F0BE59}" name="Actual" dataDxfId="51">
      <calculatedColumnFormula>IF(E23=TRUE(),D23,0)</calculatedColumnFormula>
    </tableColumn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E086F74-2751-E542-A65B-850F6AA69B95}" name="SavingsTbl_MonthlySpendingTemplate6037545866697275" displayName="SavingsTbl_MonthlySpendingTemplate6037545866697275" ref="E13:F18" totalsRowShown="0" headerRowDxfId="50">
  <autoFilter ref="E13:F18" xr:uid="{D3CA06A7-9A51-0946-A8AC-102A73C278D2}"/>
  <tableColumns count="2">
    <tableColumn id="1" xr3:uid="{BFF7B064-2FE5-EA40-B3DD-7F3FA87E8C55}" name="Account" dataDxfId="49"/>
    <tableColumn id="2" xr3:uid="{FF0E99FB-208D-7449-A996-A273DB17A9FF}" name="Amount" dataDxfId="48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4D490B7-9EB1-FF46-8D48-E4DD026BF624}" name="IncomeTbl_MonthlySpendingTemplate572445556467707376" displayName="IncomeTbl_MonthlySpendingTemplate572445556467707376" ref="B13:C19" totalsRowShown="0" headerRowDxfId="47">
  <autoFilter ref="B13:C19" xr:uid="{1AA615E9-0FE4-8049-8CB9-F6EB34AB4DDE}"/>
  <tableColumns count="2">
    <tableColumn id="1" xr3:uid="{9B8C8D38-8506-DD49-8E16-0D713FF0AA54}" name="Source" dataDxfId="46"/>
    <tableColumn id="2" xr3:uid="{9991E0E5-05EB-7D4F-893B-E7FA2F179C25}" name="Amount" dataDxfId="4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F99CA31-EDAB-224C-8229-BE1BF810DD84}" name="BillsTbl_MonthlySpendingTemplate593250566568717477" displayName="BillsTbl_MonthlySpendingTemplate593250566568717477" ref="B22:F34" totalsRowShown="0" headerRowDxfId="44">
  <autoFilter ref="B22:F34" xr:uid="{FF59E4F3-5284-A24D-A2F5-AB5F7231A2C9}"/>
  <tableColumns count="5">
    <tableColumn id="1" xr3:uid="{E7A7B8ED-BA55-5A44-85E9-97FF60287F56}" name="Bill Name" dataDxfId="43"/>
    <tableColumn id="2" xr3:uid="{FB137F5E-E502-CD40-926D-595320755897}" name="Category" dataDxfId="42"/>
    <tableColumn id="3" xr3:uid="{5A211ED2-C4FE-D642-906A-8F1FDE486B4B}" name="Amount" dataDxfId="41"/>
    <tableColumn id="4" xr3:uid="{5668E4CA-E2F0-4140-8F73-959C9A04FEBE}" name="Paid?" dataDxfId="40"/>
    <tableColumn id="5" xr3:uid="{3E25E398-2DB7-ED44-B9F8-B3B560C96E34}" name="Actual" dataDxfId="39">
      <calculatedColumnFormula>IF(E23=TRUE(),D23,0)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2A9A4C2-5A08-8746-97B9-0BBFC22BE449}" name="SavingsTbl_MonthlySpendingTemplate603754586669727578" displayName="SavingsTbl_MonthlySpendingTemplate603754586669727578" ref="E13:F18" totalsRowShown="0" headerRowDxfId="38">
  <autoFilter ref="E13:F18" xr:uid="{D3CA06A7-9A51-0946-A8AC-102A73C278D2}"/>
  <tableColumns count="2">
    <tableColumn id="1" xr3:uid="{CB98F5FF-A784-2546-ABA1-9FB16CC46A54}" name="Account" dataDxfId="37"/>
    <tableColumn id="2" xr3:uid="{2B47CC15-2849-BE4B-BF0C-DC30858DB84E}" name="Amount" dataDxfId="36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CC9AC1A-74D4-524E-9C83-CFABC3D237AB}" name="IncomeTbl_MonthlySpendingTemplate57244555646770737679" displayName="IncomeTbl_MonthlySpendingTemplate57244555646770737679" ref="B13:C19" totalsRowShown="0" headerRowDxfId="35">
  <autoFilter ref="B13:C19" xr:uid="{1AA615E9-0FE4-8049-8CB9-F6EB34AB4DDE}"/>
  <tableColumns count="2">
    <tableColumn id="1" xr3:uid="{2F4BFC72-7297-6946-978F-51967B7B25C6}" name="Source" dataDxfId="34"/>
    <tableColumn id="2" xr3:uid="{2712160C-E33B-A04A-AE43-DA8C643B7243}" name="Amount" dataDxfId="33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98FFB981-C948-6A49-9F50-CC5E8CAF3170}" name="BillsTbl_MonthlySpendingTemplate59325056656871747780" displayName="BillsTbl_MonthlySpendingTemplate59325056656871747780" ref="B22:F34" totalsRowShown="0" headerRowDxfId="32">
  <autoFilter ref="B22:F34" xr:uid="{FF59E4F3-5284-A24D-A2F5-AB5F7231A2C9}"/>
  <tableColumns count="5">
    <tableColumn id="1" xr3:uid="{373E0363-D14C-5C4D-86B2-C473305F0F49}" name="Bill Name" dataDxfId="31"/>
    <tableColumn id="2" xr3:uid="{74C0F695-C990-9244-83A6-B79F186D2E23}" name="Category" dataDxfId="30"/>
    <tableColumn id="3" xr3:uid="{7B9AB929-9028-7046-9EB6-3A6BC5CC18EC}" name="Amount" dataDxfId="29"/>
    <tableColumn id="4" xr3:uid="{4A88DBD8-FA53-A244-865C-0C36ABDF95D4}" name="Paid?" dataDxfId="28"/>
    <tableColumn id="5" xr3:uid="{9B9DAAF5-81C6-9A41-9FD1-522778242663}" name="Actual" dataDxfId="27">
      <calculatedColumnFormula>IF(E23=TRUE(),D23,0)</calculatedColumnFormula>
    </tableColumn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008A468-1129-A84E-83B1-4304799BF780}" name="SavingsTbl_MonthlySpendingTemplate60375458666972757881" displayName="SavingsTbl_MonthlySpendingTemplate60375458666972757881" ref="E13:F18" totalsRowShown="0" headerRowDxfId="26">
  <autoFilter ref="E13:F18" xr:uid="{D3CA06A7-9A51-0946-A8AC-102A73C278D2}"/>
  <tableColumns count="2">
    <tableColumn id="1" xr3:uid="{B57F3D18-58E1-194E-97A2-CD254E65C129}" name="Account" dataDxfId="25"/>
    <tableColumn id="2" xr3:uid="{5CFCC2F5-1375-6E41-B96B-A8C644371975}" name="Amount" dataDxf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6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8.xml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9.xml"/><Relationship Id="rId4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10.xml"/><Relationship Id="rId4" Type="http://schemas.openxmlformats.org/officeDocument/2006/relationships/table" Target="../tables/table2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1.xml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2.xml"/><Relationship Id="rId4" Type="http://schemas.openxmlformats.org/officeDocument/2006/relationships/table" Target="../tables/table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3.xml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drawing" Target="../drawings/drawing14.xml"/><Relationship Id="rId4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showGridLines="0" zoomScale="75" zoomScaleNormal="100" workbookViewId="0">
      <pane ySplit="1" topLeftCell="A21" activePane="bottomLeft" state="frozen"/>
      <selection pane="bottomLeft" activeCell="C8" sqref="C8:F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O5" s="95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COUNTIF(BillsTbl_MonthlySpendingTemplate59[Paid?],TRUE())&amp;" / "&amp;COUNTA(BillsTbl_MonthlySpendingTemplate59[Bill Name])</f>
        <v>0 / 0</v>
      </c>
      <c r="K6" s="36"/>
      <c r="M6" s="41" t="s">
        <v>34</v>
      </c>
      <c r="N6" s="39">
        <f>IF(N5="50/30/20",B6*0.5,IF(N5="70/20/10",B6*0.7,0))</f>
        <v>0</v>
      </c>
      <c r="O6" s="95" t="s">
        <v>111</v>
      </c>
      <c r="Q6" s="52" t="s">
        <v>9</v>
      </c>
      <c r="R6" s="10">
        <f>O15+O17+O19+O21</f>
        <v>0</v>
      </c>
      <c r="T6" t="s">
        <v>10</v>
      </c>
      <c r="U6" s="1" t="str">
        <f>C37</f>
        <v>Savings</v>
      </c>
      <c r="V6" s="1">
        <f>R6</f>
        <v>0</v>
      </c>
      <c r="X6" s="95" t="s">
        <v>10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  <c r="X7" s="95" t="s">
        <v>12</v>
      </c>
    </row>
    <row r="8" spans="1:33" ht="20" customHeight="1" thickBot="1" x14ac:dyDescent="0.25">
      <c r="C8" s="94" t="s">
        <v>115</v>
      </c>
      <c r="D8" s="94"/>
      <c r="E8" s="94"/>
      <c r="F8" s="94"/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SUM(SavingsTbl_MonthlySpendingTemplate60[Amount])</f>
        <v>0</v>
      </c>
      <c r="U8" s="1"/>
      <c r="V8" s="1"/>
      <c r="X8" s="95" t="s">
        <v>14</v>
      </c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 t="str">
        <f>C38</f>
        <v>401K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 t="str">
        <f>C39</f>
        <v>Roth-IRA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SUMIFS(BillsTbl_MonthlySpendingTemplate59[Actual],BillsTbl_MonthlySpendingTemplate59[Category],"Subscriptions")+SUMIFS(K14:K72,J14:J72,"Subscriptions")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SUMIFS(BillsTbl_MonthlySpendingTemplate59[Actual],BillsTbl_MonthlySpendingTemplate59[Category],"Gas")+SUMIFS(K14:K72,J14:J72,"Gas")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SUMIFS(BillsTbl_MonthlySpendingTemplate59[Actual],BillsTbl_MonthlySpendingTemplate59[Category],"Other")+SUMIFS(K14:K72,J14:J72,"Other")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SUMIFS(BillsTbl_MonthlySpendingTemplate59[Actual],BillsTbl_MonthlySpendingTemplate59[Category],"Groceries")+SUMIFS(K14:K72,J14:J72,"Groceries")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SUMIFS(BillsTbl_MonthlySpendingTemplate59[Actual],BillsTbl_MonthlySpendingTemplate59[Category],"Dining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SUMIFS(BillsTbl_MonthlySpendingTemplate59[Actual],BillsTbl_MonthlySpendingTemplate59[Category],"Rent")+SUMIFS(K14:K72,J14:J72,"Rent")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SUMIFS(BillsTbl_MonthlySpendingTemplate59[Actual],BillsTbl_MonthlySpendingTemplate59[Category],"Shopping")+SUMIFS(K14:K72,J14:J72,"Shopping")</f>
        <v>0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SUMIFS(BillsTbl_MonthlySpendingTemplate59[Actual],BillsTbl_MonthlySpendingTemplate59[Category],"Credit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ht="24" customHeight="1" x14ac:dyDescent="0.2">
      <c r="B36" s="97" t="s">
        <v>112</v>
      </c>
      <c r="C36" s="98"/>
      <c r="I36" s="8"/>
      <c r="J36" s="7"/>
      <c r="K36" s="47"/>
      <c r="L36" s="7"/>
    </row>
    <row r="37" spans="2:17" x14ac:dyDescent="0.2">
      <c r="B37" s="96">
        <v>1</v>
      </c>
      <c r="C37" s="90" t="s">
        <v>14</v>
      </c>
      <c r="I37" s="8"/>
      <c r="J37" s="7"/>
      <c r="K37" s="47"/>
      <c r="L37" s="7"/>
    </row>
    <row r="38" spans="2:17" x14ac:dyDescent="0.2">
      <c r="B38" s="96">
        <v>2</v>
      </c>
      <c r="C38" s="90" t="s">
        <v>87</v>
      </c>
      <c r="I38" s="8"/>
      <c r="J38" s="7"/>
      <c r="K38" s="47"/>
      <c r="L38" s="7"/>
    </row>
    <row r="39" spans="2:17" x14ac:dyDescent="0.2">
      <c r="B39" s="96">
        <v>3</v>
      </c>
      <c r="C39" s="90" t="s">
        <v>113</v>
      </c>
      <c r="I39" s="8"/>
      <c r="J39" s="7"/>
      <c r="K39" s="47"/>
      <c r="L39" s="7"/>
    </row>
    <row r="40" spans="2:17" x14ac:dyDescent="0.2">
      <c r="B40" s="96">
        <v>4</v>
      </c>
      <c r="C40" s="90" t="s">
        <v>114</v>
      </c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20">
    <mergeCell ref="B36:C36"/>
    <mergeCell ref="J5:K5"/>
    <mergeCell ref="R1:AG3"/>
    <mergeCell ref="I12:L12"/>
    <mergeCell ref="N12:O12"/>
    <mergeCell ref="C8:F8"/>
    <mergeCell ref="B1:Q3"/>
    <mergeCell ref="B12:C12"/>
    <mergeCell ref="B21:F21"/>
    <mergeCell ref="E12:F12"/>
    <mergeCell ref="Q5:R5"/>
    <mergeCell ref="B6:C6"/>
    <mergeCell ref="D6:E6"/>
    <mergeCell ref="F6:G6"/>
    <mergeCell ref="H6:I6"/>
    <mergeCell ref="J6:K6"/>
    <mergeCell ref="B5:C5"/>
    <mergeCell ref="D5:E5"/>
    <mergeCell ref="F5:G5"/>
    <mergeCell ref="H5:I5"/>
  </mergeCells>
  <phoneticPr fontId="14" type="noConversion"/>
  <dataValidations count="4">
    <dataValidation type="list" allowBlank="1" sqref="C23:C34 J14:J72" xr:uid="{00000000-0002-0000-0000-000001000000}">
      <formula1>"Subscriptions,Gas,Other,Groceries,Dining out,Rent,Shopping,Credit Card"</formula1>
      <formula2>0</formula2>
    </dataValidation>
    <dataValidation type="list" allowBlank="1" sqref="E23:E34" xr:uid="{00000000-0002-0000-0000-000002000000}">
      <formula1>"TRUE,FALSE"</formula1>
      <formula2>0</formula2>
    </dataValidation>
    <dataValidation type="list" allowBlank="1" showInputMessage="1" showErrorMessage="1" sqref="N5" xr:uid="{4060A21B-F0A4-A148-9F68-55AF577B1415}">
      <formula1>$O$5:$O$6</formula1>
    </dataValidation>
    <dataValidation type="list" allowBlank="1" showInputMessage="1" showErrorMessage="1" sqref="E14:E18" xr:uid="{677B8C0A-72E3-4B41-898D-5E7663078435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R1000"/>
  <sheetViews>
    <sheetView showGridLines="0" tabSelected="1" topLeftCell="A2" zoomScale="92" zoomScaleNormal="100" workbookViewId="0">
      <selection activeCell="E11" sqref="E11:E17"/>
    </sheetView>
  </sheetViews>
  <sheetFormatPr baseColWidth="10" defaultColWidth="11.1640625" defaultRowHeight="16" x14ac:dyDescent="0.2"/>
  <cols>
    <col min="1" max="2" width="3" customWidth="1"/>
    <col min="3" max="3" width="14" customWidth="1"/>
    <col min="4" max="4" width="5.6640625" customWidth="1"/>
    <col min="5" max="5" width="15.1640625" customWidth="1"/>
    <col min="6" max="7" width="14" customWidth="1"/>
    <col min="8" max="16" width="11" customWidth="1"/>
    <col min="17" max="17" width="17.33203125" customWidth="1"/>
    <col min="18" max="26" width="11" customWidth="1"/>
  </cols>
  <sheetData>
    <row r="1" spans="1:18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.75" customHeight="1" x14ac:dyDescent="0.2">
      <c r="A2" s="3"/>
      <c r="B2" s="3"/>
      <c r="C2" s="13" t="s">
        <v>42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5.75" customHeight="1" x14ac:dyDescent="0.2">
      <c r="A3" s="3"/>
      <c r="B3" s="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5.75" customHeight="1" x14ac:dyDescent="0.2">
      <c r="A4" s="3"/>
      <c r="B4" s="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5.75" customHeight="1" x14ac:dyDescent="0.2">
      <c r="A5" s="3"/>
      <c r="L5" s="4"/>
      <c r="M5" s="4"/>
      <c r="N5" s="4"/>
      <c r="O5" s="4"/>
    </row>
    <row r="6" spans="1:18" ht="15.75" customHeight="1" x14ac:dyDescent="0.2">
      <c r="A6" s="3"/>
      <c r="C6" s="18" t="s">
        <v>43</v>
      </c>
      <c r="D6" s="18"/>
      <c r="F6" s="16" t="s">
        <v>44</v>
      </c>
      <c r="G6" s="16"/>
      <c r="I6" s="14" t="s">
        <v>45</v>
      </c>
      <c r="J6" s="15"/>
      <c r="L6" s="14" t="s">
        <v>46</v>
      </c>
      <c r="M6" s="15"/>
      <c r="N6" s="3"/>
      <c r="O6" s="3"/>
    </row>
    <row r="7" spans="1:18" ht="15.75" customHeight="1" x14ac:dyDescent="0.2">
      <c r="A7" s="3"/>
      <c r="B7" s="3"/>
      <c r="C7" s="60">
        <f>SUM(E11:P11)</f>
        <v>4851.8099999999995</v>
      </c>
      <c r="D7" s="60"/>
      <c r="E7" s="5"/>
      <c r="F7" s="56">
        <f>SUM(E15:P15)</f>
        <v>2306.9</v>
      </c>
      <c r="G7" s="56"/>
      <c r="H7" s="5"/>
      <c r="I7" s="88">
        <f>IFERROR(AVERAGE(E17:P17),0)</f>
        <v>7.4839245503815752E-2</v>
      </c>
      <c r="J7" s="89"/>
      <c r="K7" s="5"/>
      <c r="L7" s="86">
        <f>SUM(E16:P16)</f>
        <v>3637.9599999999991</v>
      </c>
      <c r="M7" s="87"/>
      <c r="N7" s="5"/>
      <c r="O7" s="5"/>
    </row>
    <row r="8" spans="1:18" ht="15.75" customHeight="1" x14ac:dyDescent="0.2">
      <c r="A8" s="3"/>
      <c r="B8" s="3"/>
      <c r="C8" s="6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  <c r="R8" s="3"/>
    </row>
    <row r="9" spans="1:18" ht="15.75" customHeight="1" thickBot="1" x14ac:dyDescent="0.25">
      <c r="A9" s="3"/>
      <c r="B9" s="3"/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9" customHeight="1" x14ac:dyDescent="0.2">
      <c r="A10" s="3"/>
      <c r="B10" s="3"/>
      <c r="C10" s="64" t="s">
        <v>47</v>
      </c>
      <c r="D10" s="65"/>
      <c r="E10" s="67" t="s">
        <v>48</v>
      </c>
      <c r="F10" s="67" t="s">
        <v>49</v>
      </c>
      <c r="G10" s="67" t="s">
        <v>50</v>
      </c>
      <c r="H10" s="67" t="s">
        <v>51</v>
      </c>
      <c r="I10" s="67" t="s">
        <v>52</v>
      </c>
      <c r="J10" s="67" t="s">
        <v>53</v>
      </c>
      <c r="K10" s="67" t="s">
        <v>54</v>
      </c>
      <c r="L10" s="67" t="s">
        <v>55</v>
      </c>
      <c r="M10" s="67" t="s">
        <v>56</v>
      </c>
      <c r="N10" s="67" t="s">
        <v>57</v>
      </c>
      <c r="O10" s="67" t="s">
        <v>58</v>
      </c>
      <c r="P10" s="67" t="s">
        <v>59</v>
      </c>
      <c r="Q10" s="3"/>
      <c r="R10" s="3"/>
    </row>
    <row r="11" spans="1:18" ht="15.75" customHeight="1" thickBot="1" x14ac:dyDescent="0.25">
      <c r="A11" s="3"/>
      <c r="B11" s="3"/>
      <c r="C11" s="81" t="s">
        <v>1</v>
      </c>
      <c r="D11" s="82"/>
      <c r="E11" s="74">
        <f>Jan!$B$6</f>
        <v>0</v>
      </c>
      <c r="F11" s="68">
        <f>Feb!$B$6</f>
        <v>0</v>
      </c>
      <c r="G11" s="68">
        <f>Mar!$B$6</f>
        <v>0</v>
      </c>
      <c r="H11" s="68">
        <f>Apr!$B$6</f>
        <v>0</v>
      </c>
      <c r="I11" s="68">
        <f>May!$B$6</f>
        <v>0</v>
      </c>
      <c r="J11" s="68">
        <f>Jun!$B$6</f>
        <v>0</v>
      </c>
      <c r="K11" s="68">
        <f>Jul!$B$6</f>
        <v>0</v>
      </c>
      <c r="L11" s="68">
        <f>Aug!$B$6</f>
        <v>2654.2699999999995</v>
      </c>
      <c r="M11" s="68">
        <f>Sept!$B$6</f>
        <v>2197.54</v>
      </c>
      <c r="N11" s="68">
        <f>Oct!$B$6</f>
        <v>0</v>
      </c>
      <c r="O11" s="68">
        <f>Nov!$B$6</f>
        <v>0</v>
      </c>
      <c r="P11" s="68">
        <f>Dec!$B$6</f>
        <v>0</v>
      </c>
      <c r="Q11" s="3"/>
      <c r="R11" s="3"/>
    </row>
    <row r="12" spans="1:18" ht="15.75" customHeight="1" x14ac:dyDescent="0.2">
      <c r="A12" s="3"/>
      <c r="B12" s="3"/>
      <c r="C12" s="63" t="s">
        <v>9</v>
      </c>
      <c r="D12" s="83"/>
      <c r="E12" s="74">
        <f>Jan!$R$6</f>
        <v>0</v>
      </c>
      <c r="F12" s="68">
        <f>Feb!$R$6</f>
        <v>0</v>
      </c>
      <c r="G12" s="68">
        <f>Mar!$R$6</f>
        <v>0</v>
      </c>
      <c r="H12" s="68">
        <f>Apr!$R$6</f>
        <v>0</v>
      </c>
      <c r="I12" s="68">
        <f>May!$R$6</f>
        <v>0</v>
      </c>
      <c r="J12" s="68">
        <f>Jun!$R$6</f>
        <v>0</v>
      </c>
      <c r="K12" s="68">
        <f>Jul!$R$6</f>
        <v>0</v>
      </c>
      <c r="L12" s="68">
        <f>Aug!$R$6</f>
        <v>981.61</v>
      </c>
      <c r="M12" s="68">
        <f>Sept!$R$6</f>
        <v>232.24</v>
      </c>
      <c r="N12" s="68">
        <f>Oct!$R$6</f>
        <v>0</v>
      </c>
      <c r="O12" s="68">
        <f>Nov!$R$6</f>
        <v>0</v>
      </c>
      <c r="P12" s="68">
        <f>Dec!$R$6</f>
        <v>0</v>
      </c>
      <c r="Q12" s="3"/>
      <c r="R12" s="3"/>
    </row>
    <row r="13" spans="1:18" ht="15.75" customHeight="1" x14ac:dyDescent="0.2">
      <c r="A13" s="3"/>
      <c r="B13" s="3"/>
      <c r="C13" s="61" t="s">
        <v>11</v>
      </c>
      <c r="D13" s="84"/>
      <c r="E13" s="74">
        <f>Jan!$R$7</f>
        <v>0</v>
      </c>
      <c r="F13" s="68">
        <f>Feb!$R$7</f>
        <v>0</v>
      </c>
      <c r="G13" s="68">
        <f>Mar!$R$7</f>
        <v>0</v>
      </c>
      <c r="H13" s="68">
        <f>Apr!$R$7</f>
        <v>0</v>
      </c>
      <c r="I13" s="68">
        <f>May!R7</f>
        <v>0</v>
      </c>
      <c r="J13" s="68">
        <f>Jun!$R$7</f>
        <v>0</v>
      </c>
      <c r="K13" s="68">
        <f>Jul!$R$7</f>
        <v>0</v>
      </c>
      <c r="L13" s="68">
        <f>Aug!$R$7</f>
        <v>955.65999999999985</v>
      </c>
      <c r="M13" s="68">
        <f>Sept!$R$7</f>
        <v>137.38999999999999</v>
      </c>
      <c r="N13" s="68">
        <f>Oct!$R$7</f>
        <v>0</v>
      </c>
      <c r="O13" s="68">
        <f>Nov!$R$7</f>
        <v>0</v>
      </c>
      <c r="P13" s="68">
        <f>Dec!$R$7</f>
        <v>0</v>
      </c>
      <c r="Q13" s="3"/>
      <c r="R13" s="3"/>
    </row>
    <row r="14" spans="1:18" ht="15.75" customHeight="1" x14ac:dyDescent="0.2">
      <c r="A14" s="3"/>
      <c r="B14" s="3"/>
      <c r="C14" s="61" t="s">
        <v>13</v>
      </c>
      <c r="D14" s="84"/>
      <c r="E14" s="74">
        <f>Jan!$R$8</f>
        <v>0</v>
      </c>
      <c r="F14" s="68">
        <f>Feb!$R$8</f>
        <v>0</v>
      </c>
      <c r="G14" s="68">
        <f>Mar!$R$8</f>
        <v>0</v>
      </c>
      <c r="H14" s="68">
        <f>Apr!$R$8</f>
        <v>0</v>
      </c>
      <c r="I14" s="68">
        <f>May!$R$8</f>
        <v>0</v>
      </c>
      <c r="J14" s="68">
        <f>Jun!$R$8</f>
        <v>0</v>
      </c>
      <c r="K14" s="68">
        <f>Jul!$R$8</f>
        <v>0</v>
      </c>
      <c r="L14" s="68">
        <f>Aug!$R$8</f>
        <v>677.65</v>
      </c>
      <c r="M14" s="68">
        <f>Sept!$R$8</f>
        <v>365.67</v>
      </c>
      <c r="N14" s="68">
        <f>Oct!$R$8</f>
        <v>0</v>
      </c>
      <c r="O14" s="68">
        <f>Nov!$R$8</f>
        <v>0</v>
      </c>
      <c r="P14" s="68">
        <f>Dec!$R$8</f>
        <v>0</v>
      </c>
      <c r="Q14" s="3"/>
      <c r="R14" s="3"/>
    </row>
    <row r="15" spans="1:18" ht="15.75" customHeight="1" x14ac:dyDescent="0.2">
      <c r="A15" s="3"/>
      <c r="B15" s="3"/>
      <c r="C15" s="61" t="s">
        <v>60</v>
      </c>
      <c r="D15" s="84"/>
      <c r="E15" s="74">
        <f>Jan!$R$9</f>
        <v>0</v>
      </c>
      <c r="F15" s="68">
        <f>Feb!$R$9</f>
        <v>0</v>
      </c>
      <c r="G15" s="68">
        <f>Mar!$R$9</f>
        <v>0</v>
      </c>
      <c r="H15" s="68">
        <f>Apr!$R$9</f>
        <v>0</v>
      </c>
      <c r="I15" s="68">
        <f>May!$R$9</f>
        <v>0</v>
      </c>
      <c r="J15" s="68">
        <f>Jun!$R$9</f>
        <v>0</v>
      </c>
      <c r="K15" s="68">
        <f>Jul!$R$9</f>
        <v>0</v>
      </c>
      <c r="L15" s="68">
        <f>Aug!$R$9</f>
        <v>1937.27</v>
      </c>
      <c r="M15" s="68">
        <f>Sept!$R$9</f>
        <v>369.63</v>
      </c>
      <c r="N15" s="68">
        <f>Oct!$R$9</f>
        <v>0</v>
      </c>
      <c r="O15" s="68">
        <f>Nov!$R$9</f>
        <v>0</v>
      </c>
      <c r="P15" s="68">
        <f>Dec!$R$9</f>
        <v>0</v>
      </c>
      <c r="Q15" s="3"/>
      <c r="R15" s="3"/>
    </row>
    <row r="16" spans="1:18" ht="15.75" customHeight="1" x14ac:dyDescent="0.2">
      <c r="A16" s="3"/>
      <c r="B16" s="3"/>
      <c r="C16" s="61" t="s">
        <v>110</v>
      </c>
      <c r="D16" s="84"/>
      <c r="E16" s="74">
        <f>Jan!$F$6</f>
        <v>0</v>
      </c>
      <c r="F16" s="68">
        <f>Feb!$F$6</f>
        <v>0</v>
      </c>
      <c r="G16" s="68">
        <f>Mar!$F$6</f>
        <v>0</v>
      </c>
      <c r="H16" s="68">
        <f>Apr!$F$6</f>
        <v>0</v>
      </c>
      <c r="I16" s="68">
        <f>May!$F$6</f>
        <v>0</v>
      </c>
      <c r="J16" s="68">
        <f>Jun!$F$6</f>
        <v>0</v>
      </c>
      <c r="K16" s="68">
        <f>Jul!$F$6</f>
        <v>0</v>
      </c>
      <c r="L16" s="68">
        <f>Aug!$F$6</f>
        <v>1672.6599999999994</v>
      </c>
      <c r="M16" s="68">
        <f>Sept!$F$6</f>
        <v>1965.3</v>
      </c>
      <c r="N16" s="68">
        <f>Oct!$F$6</f>
        <v>0</v>
      </c>
      <c r="O16" s="68">
        <f>Nov!$F$6</f>
        <v>0</v>
      </c>
      <c r="P16" s="68">
        <f>Dec!$F$6</f>
        <v>0</v>
      </c>
      <c r="Q16" s="3"/>
      <c r="R16" s="3"/>
    </row>
    <row r="17" spans="1:18" ht="15.75" customHeight="1" thickBot="1" x14ac:dyDescent="0.25">
      <c r="A17" s="3"/>
      <c r="B17" s="3"/>
      <c r="C17" s="62" t="s">
        <v>61</v>
      </c>
      <c r="D17" s="85"/>
      <c r="E17" s="75">
        <f>Jan!$H$6</f>
        <v>0</v>
      </c>
      <c r="F17" s="69">
        <f>Feb!$H$6</f>
        <v>0</v>
      </c>
      <c r="G17" s="69">
        <f>Mar!$H$6</f>
        <v>0</v>
      </c>
      <c r="H17" s="69">
        <f>Apr!$H$6</f>
        <v>0</v>
      </c>
      <c r="I17" s="69">
        <f>May!$H$6</f>
        <v>0</v>
      </c>
      <c r="J17" s="69">
        <f>Jun!$H$6</f>
        <v>0</v>
      </c>
      <c r="K17" s="69">
        <f>Jul!$H$6</f>
        <v>0</v>
      </c>
      <c r="L17" s="69">
        <f>Aug!$H$6</f>
        <v>0.72986922958101486</v>
      </c>
      <c r="M17" s="69">
        <f>Sept!$H$6</f>
        <v>0.16820171646477425</v>
      </c>
      <c r="N17" s="69">
        <f>Oct!$H$6</f>
        <v>0</v>
      </c>
      <c r="O17" s="69">
        <f>Nov!$H$6</f>
        <v>0</v>
      </c>
      <c r="P17" s="69">
        <f>Dec!$H$6</f>
        <v>0</v>
      </c>
      <c r="Q17" s="3"/>
      <c r="R17" s="3"/>
    </row>
    <row r="18" spans="1:18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2" customHeight="1" x14ac:dyDescent="0.2">
      <c r="A19" s="3"/>
      <c r="B19" s="3"/>
      <c r="C19" s="3"/>
      <c r="D19" s="3"/>
      <c r="E19" s="3" t="s">
        <v>108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23" customHeight="1" thickBot="1" x14ac:dyDescent="0.25">
      <c r="A20" s="3"/>
      <c r="B20" s="3"/>
      <c r="C20" s="73" t="s">
        <v>62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</row>
    <row r="21" spans="1:18" ht="15.75" customHeight="1" thickBot="1" x14ac:dyDescent="0.25">
      <c r="A21" s="3"/>
      <c r="B21" s="3"/>
      <c r="C21" s="66" t="s">
        <v>21</v>
      </c>
      <c r="D21" s="77"/>
      <c r="E21" s="76" t="s">
        <v>118</v>
      </c>
      <c r="F21" s="70" t="s">
        <v>109</v>
      </c>
      <c r="G21" s="70" t="s">
        <v>50</v>
      </c>
      <c r="H21" s="70" t="s">
        <v>51</v>
      </c>
      <c r="I21" s="70" t="s">
        <v>52</v>
      </c>
      <c r="J21" s="70" t="s">
        <v>53</v>
      </c>
      <c r="K21" s="70" t="s">
        <v>54</v>
      </c>
      <c r="L21" s="70" t="s">
        <v>55</v>
      </c>
      <c r="M21" s="70" t="s">
        <v>56</v>
      </c>
      <c r="N21" s="70" t="s">
        <v>57</v>
      </c>
      <c r="O21" s="70" t="s">
        <v>58</v>
      </c>
      <c r="P21" s="70" t="s">
        <v>59</v>
      </c>
      <c r="Q21" s="70" t="s">
        <v>63</v>
      </c>
      <c r="R21" s="70" t="s">
        <v>64</v>
      </c>
    </row>
    <row r="22" spans="1:18" ht="15.75" customHeight="1" x14ac:dyDescent="0.2">
      <c r="A22" s="3"/>
      <c r="C22" s="57" t="s">
        <v>24</v>
      </c>
      <c r="D22" s="78"/>
      <c r="E22" s="74">
        <f>Jan!$O$14</f>
        <v>0</v>
      </c>
      <c r="F22" s="74">
        <f>Feb!$O$14</f>
        <v>0</v>
      </c>
      <c r="G22" s="74">
        <f>Mar!$O$14</f>
        <v>0</v>
      </c>
      <c r="H22" s="74">
        <f>Apr!$O$14</f>
        <v>0</v>
      </c>
      <c r="I22" s="74">
        <f>May!$O$14</f>
        <v>0</v>
      </c>
      <c r="J22" s="74">
        <f>Jun!$O$14</f>
        <v>0</v>
      </c>
      <c r="K22" s="74">
        <f>Jul!$O$14</f>
        <v>0</v>
      </c>
      <c r="L22" s="74">
        <f>Aug!$O$14</f>
        <v>57.309999999999995</v>
      </c>
      <c r="M22" s="74">
        <f>Sept!$O$14</f>
        <v>6.48</v>
      </c>
      <c r="N22" s="74">
        <f>Oct!$O$14</f>
        <v>0</v>
      </c>
      <c r="O22" s="74">
        <f>Nov!$O$14</f>
        <v>0</v>
      </c>
      <c r="P22" s="74">
        <f>Dec!$O$14</f>
        <v>0</v>
      </c>
      <c r="Q22" s="71">
        <f t="shared" ref="Q22:Q29" si="0">IFERROR(AVERAGEIF(E22:P22,"&lt;&gt;0"),0)</f>
        <v>31.894999999999996</v>
      </c>
      <c r="R22" s="72">
        <f t="shared" ref="R22:R29" si="1">SUM(E22:P22)</f>
        <v>63.789999999999992</v>
      </c>
    </row>
    <row r="23" spans="1:18" ht="15.75" customHeight="1" x14ac:dyDescent="0.2">
      <c r="A23" s="3"/>
      <c r="C23" s="58" t="s">
        <v>25</v>
      </c>
      <c r="D23" s="79"/>
      <c r="E23" s="74">
        <f>Jan!$O$15</f>
        <v>0</v>
      </c>
      <c r="F23" s="74">
        <f>Feb!$O$15</f>
        <v>0</v>
      </c>
      <c r="G23" s="74">
        <f>Mar!$O$15</f>
        <v>0</v>
      </c>
      <c r="H23" s="74">
        <f>Apr!$O$15</f>
        <v>0</v>
      </c>
      <c r="I23" s="74">
        <f>May!$O$15</f>
        <v>0</v>
      </c>
      <c r="J23" s="74">
        <f>Jun!$O$15</f>
        <v>0</v>
      </c>
      <c r="K23" s="74">
        <f>Jul!$O$15</f>
        <v>0</v>
      </c>
      <c r="L23" s="74">
        <f>Aug!$O$15</f>
        <v>61.61</v>
      </c>
      <c r="M23" s="74">
        <f>Sept!$O$15</f>
        <v>32.24</v>
      </c>
      <c r="N23" s="74">
        <f>Oct!$O$15</f>
        <v>0</v>
      </c>
      <c r="O23" s="74">
        <f>Nov!$O$15</f>
        <v>0</v>
      </c>
      <c r="P23" s="74">
        <f>Dec!$O$15</f>
        <v>0</v>
      </c>
      <c r="Q23" s="71">
        <f t="shared" si="0"/>
        <v>46.924999999999997</v>
      </c>
      <c r="R23" s="72">
        <f t="shared" si="1"/>
        <v>93.85</v>
      </c>
    </row>
    <row r="24" spans="1:18" ht="15.75" customHeight="1" x14ac:dyDescent="0.2">
      <c r="A24" s="3"/>
      <c r="C24" s="58" t="s">
        <v>26</v>
      </c>
      <c r="D24" s="79"/>
      <c r="E24" s="74">
        <f>Jan!$O$16</f>
        <v>0</v>
      </c>
      <c r="F24" s="74">
        <f>Feb!$O$16</f>
        <v>0</v>
      </c>
      <c r="G24" s="74">
        <f>Mar!$O$16</f>
        <v>0</v>
      </c>
      <c r="H24" s="74">
        <f>Apr!$O$16</f>
        <v>0</v>
      </c>
      <c r="I24" s="74">
        <f>May!$O$16</f>
        <v>0</v>
      </c>
      <c r="J24" s="74">
        <f>Jun!$O$16</f>
        <v>0</v>
      </c>
      <c r="K24" s="74">
        <f>Jul!$O$16</f>
        <v>0</v>
      </c>
      <c r="L24" s="74">
        <f>Aug!$O$16</f>
        <v>482.40999999999991</v>
      </c>
      <c r="M24" s="74">
        <f>Sept!$O$16</f>
        <v>55.04</v>
      </c>
      <c r="N24" s="74">
        <f>Oct!$O$16</f>
        <v>0</v>
      </c>
      <c r="O24" s="74">
        <f>Nov!$O$16</f>
        <v>0</v>
      </c>
      <c r="P24" s="74">
        <f>Dec!$O$16</f>
        <v>0</v>
      </c>
      <c r="Q24" s="71">
        <f t="shared" si="0"/>
        <v>268.72499999999997</v>
      </c>
      <c r="R24" s="72">
        <f t="shared" si="1"/>
        <v>537.44999999999993</v>
      </c>
    </row>
    <row r="25" spans="1:18" ht="15.75" customHeight="1" x14ac:dyDescent="0.2">
      <c r="A25" s="3"/>
      <c r="C25" s="58" t="s">
        <v>27</v>
      </c>
      <c r="D25" s="79"/>
      <c r="E25" s="74">
        <f>Jan!$O$17</f>
        <v>0</v>
      </c>
      <c r="F25" s="74">
        <f>Feb!$O$17</f>
        <v>0</v>
      </c>
      <c r="G25" s="74">
        <f>Mar!$O$17</f>
        <v>0</v>
      </c>
      <c r="H25" s="74">
        <f>Apr!$O$17</f>
        <v>0</v>
      </c>
      <c r="I25" s="74">
        <f>May!$O$17</f>
        <v>0</v>
      </c>
      <c r="J25" s="74">
        <f>Jun!$O$17</f>
        <v>0</v>
      </c>
      <c r="K25" s="74">
        <f>Jul!$O$17</f>
        <v>0</v>
      </c>
      <c r="L25" s="74">
        <f>Aug!$O$17</f>
        <v>70</v>
      </c>
      <c r="M25" s="74">
        <f>Sept!$O$17</f>
        <v>0</v>
      </c>
      <c r="N25" s="74">
        <f>Oct!$O$17</f>
        <v>0</v>
      </c>
      <c r="O25" s="74">
        <f>Nov!$O$17</f>
        <v>0</v>
      </c>
      <c r="P25" s="74">
        <f>Dec!$O$17</f>
        <v>0</v>
      </c>
      <c r="Q25" s="71">
        <f t="shared" si="0"/>
        <v>70</v>
      </c>
      <c r="R25" s="72">
        <f t="shared" si="1"/>
        <v>70</v>
      </c>
    </row>
    <row r="26" spans="1:18" ht="15.75" customHeight="1" x14ac:dyDescent="0.2">
      <c r="A26" s="3"/>
      <c r="C26" s="58" t="s">
        <v>28</v>
      </c>
      <c r="D26" s="79"/>
      <c r="E26" s="74">
        <f>Jan!$O$18</f>
        <v>0</v>
      </c>
      <c r="F26" s="74">
        <f>Feb!$O$18</f>
        <v>0</v>
      </c>
      <c r="G26" s="74">
        <f>Mar!$O$18</f>
        <v>0</v>
      </c>
      <c r="H26" s="74">
        <f>Apr!$O$18</f>
        <v>0</v>
      </c>
      <c r="I26" s="74">
        <f>May!$O$18</f>
        <v>0</v>
      </c>
      <c r="J26" s="74">
        <f>Jun!$O$18</f>
        <v>0</v>
      </c>
      <c r="K26" s="74">
        <f>Jul!$O$18</f>
        <v>0</v>
      </c>
      <c r="L26" s="74">
        <f>Aug!$O$18</f>
        <v>168.91000000000003</v>
      </c>
      <c r="M26" s="74">
        <f>Sept!$O$18</f>
        <v>51.54</v>
      </c>
      <c r="N26" s="74">
        <f>Oct!$O$18</f>
        <v>0</v>
      </c>
      <c r="O26" s="74">
        <f>Nov!$O$18</f>
        <v>0</v>
      </c>
      <c r="P26" s="74">
        <f>Dec!$O$18</f>
        <v>0</v>
      </c>
      <c r="Q26" s="71">
        <f t="shared" si="0"/>
        <v>110.22500000000001</v>
      </c>
      <c r="R26" s="72">
        <f t="shared" si="1"/>
        <v>220.45000000000002</v>
      </c>
    </row>
    <row r="27" spans="1:18" ht="15.75" customHeight="1" x14ac:dyDescent="0.2">
      <c r="A27" s="3"/>
      <c r="C27" s="58" t="s">
        <v>29</v>
      </c>
      <c r="D27" s="79"/>
      <c r="E27" s="74">
        <f>Jan!$O$19</f>
        <v>0</v>
      </c>
      <c r="F27" s="74">
        <f>Feb!$O$19</f>
        <v>0</v>
      </c>
      <c r="G27" s="74">
        <f>Mar!$O$19</f>
        <v>0</v>
      </c>
      <c r="H27" s="74">
        <f>Apr!$O$19</f>
        <v>0</v>
      </c>
      <c r="I27" s="74">
        <f>May!$O$19</f>
        <v>0</v>
      </c>
      <c r="J27" s="74">
        <f>Jun!$O$19</f>
        <v>0</v>
      </c>
      <c r="K27" s="74">
        <f>Jul!$O$19</f>
        <v>0</v>
      </c>
      <c r="L27" s="74">
        <f>Aug!$O$19</f>
        <v>650</v>
      </c>
      <c r="M27" s="74">
        <f>Sept!$O$19</f>
        <v>0</v>
      </c>
      <c r="N27" s="74">
        <f>Oct!$O$19</f>
        <v>0</v>
      </c>
      <c r="O27" s="74">
        <f>Nov!$O$19</f>
        <v>0</v>
      </c>
      <c r="P27" s="74">
        <f>Dec!$O$19</f>
        <v>0</v>
      </c>
      <c r="Q27" s="71">
        <f t="shared" si="0"/>
        <v>650</v>
      </c>
      <c r="R27" s="72">
        <f t="shared" si="1"/>
        <v>650</v>
      </c>
    </row>
    <row r="28" spans="1:18" ht="15.75" customHeight="1" x14ac:dyDescent="0.2">
      <c r="A28" s="3"/>
      <c r="C28" s="58" t="s">
        <v>30</v>
      </c>
      <c r="D28" s="79"/>
      <c r="E28" s="74">
        <f>Jan!$O$20</f>
        <v>0</v>
      </c>
      <c r="F28" s="74">
        <f>Feb!$O$20</f>
        <v>0</v>
      </c>
      <c r="G28" s="74">
        <f>Mar!$O$20</f>
        <v>0</v>
      </c>
      <c r="H28" s="74">
        <f>Apr!$O$20</f>
        <v>0</v>
      </c>
      <c r="I28" s="74">
        <f>May!$O$20</f>
        <v>0</v>
      </c>
      <c r="J28" s="74">
        <f>Jun!$O$20</f>
        <v>0</v>
      </c>
      <c r="K28" s="74">
        <f>Jul!$O$20</f>
        <v>0</v>
      </c>
      <c r="L28" s="74">
        <f>Aug!$O$20</f>
        <v>247.03000000000003</v>
      </c>
      <c r="M28" s="74">
        <f>Sept!$O$20</f>
        <v>24.33</v>
      </c>
      <c r="N28" s="74">
        <f>Oct!$O$20</f>
        <v>0</v>
      </c>
      <c r="O28" s="74">
        <f>Nov!$O$20</f>
        <v>0</v>
      </c>
      <c r="P28" s="74">
        <f>Dec!$O$20</f>
        <v>0</v>
      </c>
      <c r="Q28" s="71">
        <f t="shared" si="0"/>
        <v>135.68</v>
      </c>
      <c r="R28" s="72">
        <f t="shared" si="1"/>
        <v>271.36</v>
      </c>
    </row>
    <row r="29" spans="1:18" ht="15.75" customHeight="1" thickBot="1" x14ac:dyDescent="0.25">
      <c r="C29" s="59" t="s">
        <v>31</v>
      </c>
      <c r="D29" s="80"/>
      <c r="E29" s="74">
        <f>Jan!$O$21</f>
        <v>0</v>
      </c>
      <c r="F29" s="74">
        <f>Feb!$O$21</f>
        <v>0</v>
      </c>
      <c r="G29" s="74">
        <f>Mar!$O$21</f>
        <v>0</v>
      </c>
      <c r="H29" s="74">
        <f>Apr!$O$21</f>
        <v>0</v>
      </c>
      <c r="I29" s="74">
        <f>Jan!$O$21</f>
        <v>0</v>
      </c>
      <c r="J29" s="74">
        <f>Jun!$O$21</f>
        <v>0</v>
      </c>
      <c r="K29" s="74">
        <f>Jul!$O$21</f>
        <v>0</v>
      </c>
      <c r="L29" s="74">
        <f>Aug!$O$21</f>
        <v>200</v>
      </c>
      <c r="M29" s="74">
        <f>Sept!$O$21</f>
        <v>200</v>
      </c>
      <c r="N29" s="74">
        <f>Oct!$O$21</f>
        <v>0</v>
      </c>
      <c r="O29" s="74">
        <f>Nov!$O$21</f>
        <v>0</v>
      </c>
      <c r="P29" s="74">
        <f>Jan!$O$21</f>
        <v>0</v>
      </c>
      <c r="Q29" s="71">
        <f t="shared" si="0"/>
        <v>200</v>
      </c>
      <c r="R29" s="72">
        <f t="shared" si="1"/>
        <v>400</v>
      </c>
    </row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C2:R4"/>
    <mergeCell ref="C6:D6"/>
    <mergeCell ref="F6:G6"/>
    <mergeCell ref="I6:J6"/>
    <mergeCell ref="L6:M6"/>
    <mergeCell ref="C7:D7"/>
    <mergeCell ref="F7:G7"/>
    <mergeCell ref="I7:J7"/>
    <mergeCell ref="L7:M7"/>
    <mergeCell ref="C10:D10"/>
    <mergeCell ref="C11:D11"/>
    <mergeCell ref="C12:D12"/>
    <mergeCell ref="C13:D13"/>
    <mergeCell ref="C14:D14"/>
    <mergeCell ref="C15:D15"/>
    <mergeCell ref="C16:D16"/>
    <mergeCell ref="C17:D17"/>
    <mergeCell ref="C20:R20"/>
    <mergeCell ref="C21:D21"/>
    <mergeCell ref="C22:D22"/>
    <mergeCell ref="C28:D28"/>
    <mergeCell ref="C29:D29"/>
    <mergeCell ref="C23:D23"/>
    <mergeCell ref="C24:D24"/>
    <mergeCell ref="C25:D25"/>
    <mergeCell ref="C26:D26"/>
    <mergeCell ref="C27:D27"/>
  </mergeCells>
  <conditionalFormatting sqref="E8:P8">
    <cfRule type="cellIs" dxfId="148" priority="2" operator="lessThan">
      <formula>0</formula>
    </cfRule>
    <cfRule type="cellIs" dxfId="147" priority="3" operator="greaterThan">
      <formula>0</formula>
    </cfRule>
  </conditionalFormatting>
  <conditionalFormatting sqref="E16:P16">
    <cfRule type="cellIs" dxfId="152" priority="4" operator="lessThan">
      <formula>0</formula>
    </cfRule>
    <cfRule type="cellIs" dxfId="151" priority="5" operator="greaterThanOrEqual">
      <formula>0</formula>
    </cfRule>
  </conditionalFormatting>
  <conditionalFormatting sqref="E22:P28">
    <cfRule type="colorScale" priority="8">
      <colorScale>
        <cfvo type="min"/>
        <cfvo type="max"/>
        <color rgb="FFFFFFFF"/>
        <color rgb="FFE06666"/>
      </colorScale>
    </cfRule>
  </conditionalFormatting>
  <conditionalFormatting sqref="E22:P29">
    <cfRule type="colorScale" priority="9">
      <colorScale>
        <cfvo type="min"/>
        <cfvo type="max"/>
        <color rgb="FFFFFFFF"/>
        <color rgb="FFE06666"/>
      </colorScale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2399-CF7F-F94C-ABB8-090A414765C3}">
  <dimension ref="A1:AG7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COUNTIF(BillsTbl_MonthlySpendingTemplate5932[Paid?],TRUE())&amp;" / "&amp;COUNTA(BillsTbl_MonthlySpendingTemplate5932[Bill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SUMIFS(BillsTbl_MonthlySpendingTemplate5932[Actual],BillsTbl_MonthlySpendingTemplate5932[Category],"Subscriptions")+SUMIFS(K14:K72,J14:J72,"Subscriptions")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SUMIFS(BillsTbl_MonthlySpendingTemplate5932[Actual],BillsTbl_MonthlySpendingTemplate5932[Category],"Gas")+SUMIFS(K14:K72,J14:J72,"Gas")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SUMIFS(BillsTbl_MonthlySpendingTemplate5932[Actual],BillsTbl_MonthlySpendingTemplate5932[Category],"Other")+SUMIFS(K14:K72,J14:J72,"Other")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SUMIFS(BillsTbl_MonthlySpendingTemplate5932[Actual],BillsTbl_MonthlySpendingTemplate5932[Category],"Groceries")+SUMIFS(K14:K72,J14:J72,"Groceries")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SUMIFS(BillsTbl_MonthlySpendingTemplate5932[Actual],BillsTbl_MonthlySpendingTemplate5932[Category],"Dining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SUMIFS(BillsTbl_MonthlySpendingTemplate5932[Actual],BillsTbl_MonthlySpendingTemplate5932[Category],"Rent")+SUMIFS(K14:K72,J14:J72,"Rent")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SUMIFS(BillsTbl_MonthlySpendingTemplate5932[Actual],BillsTbl_MonthlySpendingTemplate5932[Category],"Shopping")+SUMIFS(K14:K72,J14:J72,"Shopping")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SUMIFS(BillsTbl_MonthlySpendingTemplate5932[Actual],BillsTbl_MonthlySpendingTemplate5932[Category],"Credit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E23:E34" xr:uid="{B2915EBE-1EF5-C34C-AF71-4FB064FCEE48}">
      <formula1>"TRUE,FALSE"</formula1>
      <formula2>0</formula2>
    </dataValidation>
    <dataValidation type="list" allowBlank="1" sqref="C23:C34 J14:J72" xr:uid="{7E4114D1-353E-474D-B305-12E89C0F88D6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5188-DA59-9241-97EB-15636CBFC293}">
  <dimension ref="A1:AG72"/>
  <sheetViews>
    <sheetView showGridLines="0" zoomScaleNormal="100" workbookViewId="0">
      <pane ySplit="1" topLeftCell="A2" activePane="bottomLeft" state="frozen"/>
      <selection pane="bottomLeft" activeCell="M13" sqref="M13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COUNTIF(BillsTbl_MonthlySpendingTemplate593250[Paid?],TRUE())&amp;" / "&amp;COUNTA(BillsTbl_MonthlySpendingTemplate593250[Bill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SUMIFS(BillsTbl_MonthlySpendingTemplate593250[Actual],BillsTbl_MonthlySpendingTemplate593250[Category],"Subscriptions")+SUMIFS(K14:K72,J14:J72,"Subscriptions")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SUMIFS(BillsTbl_MonthlySpendingTemplate593250[Actual],BillsTbl_MonthlySpendingTemplate593250[Category],"Gas")+SUMIFS(K14:K72,J14:J72,"Gas")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SUMIFS(BillsTbl_MonthlySpendingTemplate593250[Actual],BillsTbl_MonthlySpendingTemplate593250[Category],"Other")+SUMIFS(K14:K72,J14:J72,"Other")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SUMIFS(BillsTbl_MonthlySpendingTemplate593250[Actual],BillsTbl_MonthlySpendingTemplate593250[Category],"Groceries")+SUMIFS(K14:K72,J14:J72,"Groceries")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SUMIFS(BillsTbl_MonthlySpendingTemplate593250[Actual],BillsTbl_MonthlySpendingTemplate593250[Category],"Dining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SUMIFS(BillsTbl_MonthlySpendingTemplate593250[Actual],BillsTbl_MonthlySpendingTemplate593250[Category],"Rent")+SUMIFS(K14:K72,J14:J72,"Rent")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SUMIFS(BillsTbl_MonthlySpendingTemplate593250[Actual],BillsTbl_MonthlySpendingTemplate593250[Category],"Shopping")+SUMIFS(K14:K72,J14:J72,"Shopping")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SUMIFS(BillsTbl_MonthlySpendingTemplate593250[Actual],BillsTbl_MonthlySpendingTemplate593250[Category],"Credit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C23:C34 J14:J72" xr:uid="{3B8C2347-7099-6647-B122-A1DB2D714133}">
      <formula1>"Subscriptions,Gas,Other,Groceries,Dining out,Rent,Shopping,Credit Card"</formula1>
      <formula2>0</formula2>
    </dataValidation>
    <dataValidation type="list" allowBlank="1" sqref="E23:E34" xr:uid="{274D4439-5144-AB42-8177-44E2F1586739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4E5D-15F2-6F4C-8E69-51DEEE65EAA7}">
  <dimension ref="A1:AG72"/>
  <sheetViews>
    <sheetView showGridLines="0" zoomScaleNormal="100" workbookViewId="0">
      <pane ySplit="1" topLeftCell="A2" activePane="bottomLeft" state="frozen"/>
      <selection pane="bottomLeft" activeCell="H38" sqref="H3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SUM(IncomeTbl_MonthlySpendingTemplate5724455561[Amount])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COUNTIF(BillsTbl_MonthlySpendingTemplate5932505662[Paid?],TRUE())&amp;" / "&amp;COUNTA(BillsTbl_MonthlySpendingTemplate5932505662[Bill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SUM(SavingsTbl_MonthlySpendingTemplate6037545863[Amount])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SUMIFS(BillsTbl_MonthlySpendingTemplate5932505662[Actual],BillsTbl_MonthlySpendingTemplate5932505662[Category],"Subscriptions")+SUMIFS(K14:K72,J14:J72,"Subscriptions")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SUMIFS(BillsTbl_MonthlySpendingTemplate5932505662[Actual],BillsTbl_MonthlySpendingTemplate5932505662[Category],"Gas")+SUMIFS(K14:K72,J14:J72,"Gas")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SUMIFS(BillsTbl_MonthlySpendingTemplate5932505662[Actual],BillsTbl_MonthlySpendingTemplate5932505662[Category],"Other")+SUMIFS(K14:K72,J14:J72,"Other")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SUMIFS(BillsTbl_MonthlySpendingTemplate5932505662[Actual],BillsTbl_MonthlySpendingTemplate5932505662[Category],"Groceries")+SUMIFS(K14:K72,J14:J72,"Groceries")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SUMIFS(BillsTbl_MonthlySpendingTemplate5932505662[Actual],BillsTbl_MonthlySpendingTemplate5932505662[Category],"Dining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SUMIFS(BillsTbl_MonthlySpendingTemplate5932505662[Actual],BillsTbl_MonthlySpendingTemplate5932505662[Category],"Rent")+SUMIFS(K14:K72,J14:J72,"Rent")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SUMIFS(BillsTbl_MonthlySpendingTemplate5932505662[Actual],BillsTbl_MonthlySpendingTemplate5932505662[Category],"Shopping")+SUMIFS(K14:K72,J14:J72,"Shopping")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SUMIFS(BillsTbl_MonthlySpendingTemplate5932505662[Actual],BillsTbl_MonthlySpendingTemplate5932505662[Category],"Credit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C23:C34 J14:J72" xr:uid="{D2B5D1E5-7D43-1D45-93E0-70565F0FB904}">
      <formula1>"Subscriptions,Gas,Other,Groceries,Dining out,Rent,Shopping,Credit Card"</formula1>
      <formula2>0</formula2>
    </dataValidation>
    <dataValidation type="list" allowBlank="1" sqref="E23:E34" xr:uid="{ABD73DBB-23A7-B448-96B1-DAC7AFBB57EE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E74B-1383-B647-87FA-42B45A65C5C1}">
  <dimension ref="A1:AG72"/>
  <sheetViews>
    <sheetView showGridLines="0" zoomScaleNormal="100" workbookViewId="0">
      <pane ySplit="1" topLeftCell="A2" activePane="bottomLeft" state="frozen"/>
      <selection pane="bottomLeft" activeCell="H38" sqref="H3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COUNTIF(BillsTbl_MonthlySpendingTemplate59325056[Paid?],TRUE())&amp;" / "&amp;COUNTA(BillsTbl_MonthlySpendingTemplate59325056[Bill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SUMIFS(BillsTbl_MonthlySpendingTemplate59325056[Actual],BillsTbl_MonthlySpendingTemplate59325056[Category],"Subscriptions")+SUMIFS(K14:K72,J14:J72,"Subscriptions")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SUMIFS(BillsTbl_MonthlySpendingTemplate59325056[Actual],BillsTbl_MonthlySpendingTemplate59325056[Category],"Gas")+SUMIFS(K14:K72,J14:J72,"Gas")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SUMIFS(BillsTbl_MonthlySpendingTemplate59325056[Actual],BillsTbl_MonthlySpendingTemplate59325056[Category],"Other")+SUMIFS(K14:K72,J14:J72,"Other")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SUMIFS(BillsTbl_MonthlySpendingTemplate59325056[Actual],BillsTbl_MonthlySpendingTemplate59325056[Category],"Groceries")+SUMIFS(K14:K72,J14:J72,"Groceries")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SUMIFS(BillsTbl_MonthlySpendingTemplate59325056[Actual],BillsTbl_MonthlySpendingTemplate59325056[Category],"Dining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SUMIFS(BillsTbl_MonthlySpendingTemplate59325056[Actual],BillsTbl_MonthlySpendingTemplate59325056[Category],"Rent")+SUMIFS(K14:K72,J14:J72,"Rent")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SUMIFS(BillsTbl_MonthlySpendingTemplate59325056[Actual],BillsTbl_MonthlySpendingTemplate59325056[Category],"Shopping")+SUMIFS(K14:K72,J14:J72,"Shopping")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SUMIFS(BillsTbl_MonthlySpendingTemplate59325056[Actual],BillsTbl_MonthlySpendingTemplate59325056[Category],"Credit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E23:E34" xr:uid="{3290F36D-7C73-DF49-8CC8-44B972115969}">
      <formula1>"TRUE,FALSE"</formula1>
      <formula2>0</formula2>
    </dataValidation>
    <dataValidation type="list" allowBlank="1" sqref="C23:C34 J14:J72" xr:uid="{92ABC0BF-22D0-D549-907C-CB48F4E1DED7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B923-35C5-7547-AFE4-ACAD1DC4A42A}">
  <dimension ref="A1:AG72"/>
  <sheetViews>
    <sheetView showGridLines="0" zoomScaleNormal="100" workbookViewId="0">
      <pane ySplit="1" topLeftCell="A2" activePane="bottomLeft" state="frozen"/>
      <selection pane="bottomLeft" activeCell="H38" sqref="H3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COUNTIF(BillsTbl_MonthlySpendingTemplate5932505665[Paid?],TRUE())&amp;" / "&amp;COUNTA(BillsTbl_MonthlySpendingTemplate5932505665[Bill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SUMIFS(BillsTbl_MonthlySpendingTemplate5932505665[Actual],BillsTbl_MonthlySpendingTemplate5932505665[Category],"Subscriptions")+SUMIFS(K14:K72,J14:J72,"Subscriptions")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SUMIFS(BillsTbl_MonthlySpendingTemplate5932505665[Actual],BillsTbl_MonthlySpendingTemplate5932505665[Category],"Gas")+SUMIFS(K14:K72,J14:J72,"Gas")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SUMIFS(BillsTbl_MonthlySpendingTemplate5932505665[Actual],BillsTbl_MonthlySpendingTemplate5932505665[Category],"Other")+SUMIFS(K14:K72,J14:J72,"Other")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SUMIFS(BillsTbl_MonthlySpendingTemplate5932505665[Actual],BillsTbl_MonthlySpendingTemplate5932505665[Category],"Groceries")+SUMIFS(K14:K72,J14:J72,"Groceries")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SUMIFS(BillsTbl_MonthlySpendingTemplate5932505665[Actual],BillsTbl_MonthlySpendingTemplate5932505665[Category],"Dining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SUMIFS(BillsTbl_MonthlySpendingTemplate5932505665[Actual],BillsTbl_MonthlySpendingTemplate5932505665[Category],"Rent")+SUMIFS(K14:K72,J14:J72,"Rent")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SUMIFS(BillsTbl_MonthlySpendingTemplate5932505665[Actual],BillsTbl_MonthlySpendingTemplate5932505665[Category],"Shopping")+SUMIFS(K14:K72,J14:J72,"Shopping")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SUMIFS(BillsTbl_MonthlySpendingTemplate5932505665[Actual],BillsTbl_MonthlySpendingTemplate5932505665[Category],"Credit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C23:C34 J14:J72" xr:uid="{6E897C4C-0BB5-204A-A4D1-938A87DF0451}">
      <formula1>"Subscriptions,Gas,Other,Groceries,Dining out,Rent,Shopping,Credit Card"</formula1>
      <formula2>0</formula2>
    </dataValidation>
    <dataValidation type="list" allowBlank="1" sqref="E23:E34" xr:uid="{A34BB10F-84D5-C64E-BDF2-73B31D3D67A5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5220-A9A7-484D-858F-8FA0264709C6}">
  <dimension ref="A1:AG72"/>
  <sheetViews>
    <sheetView showGridLines="0" zoomScaleNormal="100" workbookViewId="0">
      <pane ySplit="1" topLeftCell="A2" activePane="bottomLeft" state="frozen"/>
      <selection pane="bottomLeft" activeCell="H38" sqref="H38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SUM(IncomeTbl_MonthlySpendingTemplate572445556467[Amount])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COUNTIF(BillsTbl_MonthlySpendingTemplate593250566568[Paid?],TRUE())&amp;" / "&amp;COUNTA(BillsTbl_MonthlySpendingTemplate593250566568[Bill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SUM(SavingsTbl_MonthlySpendingTemplate603754586669[Amount])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15</v>
      </c>
      <c r="C12" s="50"/>
      <c r="D12" s="51"/>
      <c r="E12" s="48" t="s">
        <v>40</v>
      </c>
      <c r="F12" s="50"/>
      <c r="G12" s="51"/>
      <c r="H12" s="51"/>
      <c r="I12" s="48" t="s">
        <v>16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SUMIFS(BillsTbl_MonthlySpendingTemplate593250566568[Actual],BillsTbl_MonthlySpendingTemplate593250566568[Category],"Subscriptions")+SUMIFS(K14:K72,J14:J72,"Subscriptions")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SUMIFS(BillsTbl_MonthlySpendingTemplate593250566568[Actual],BillsTbl_MonthlySpendingTemplate593250566568[Category],"Gas")+SUMIFS(K14:K72,J14:J72,"Gas")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SUMIFS(BillsTbl_MonthlySpendingTemplate593250566568[Actual],BillsTbl_MonthlySpendingTemplate593250566568[Category],"Other")+SUMIFS(K14:K72,J14:J72,"Other")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SUMIFS(BillsTbl_MonthlySpendingTemplate593250566568[Actual],BillsTbl_MonthlySpendingTemplate593250566568[Category],"Groceries")+SUMIFS(K14:K72,J14:J72,"Groceries")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SUMIFS(BillsTbl_MonthlySpendingTemplate593250566568[Actual],BillsTbl_MonthlySpendingTemplate593250566568[Category],"Dining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SUMIFS(BillsTbl_MonthlySpendingTemplate593250566568[Actual],BillsTbl_MonthlySpendingTemplate593250566568[Category],"Rent")+SUMIFS(K14:K72,J14:J72,"Rent")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SUMIFS(BillsTbl_MonthlySpendingTemplate593250566568[Actual],BillsTbl_MonthlySpendingTemplate593250566568[Category],"Shopping")+SUMIFS(K14:K72,J14:J72,"Shopping")</f>
        <v>0</v>
      </c>
      <c r="Q20" s="12" t="s">
        <v>98</v>
      </c>
    </row>
    <row r="21" spans="2:17" ht="19" x14ac:dyDescent="0.2">
      <c r="B21" s="48" t="s">
        <v>37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SUMIFS(BillsTbl_MonthlySpendingTemplate593250566568[Actual],BillsTbl_MonthlySpendingTemplate593250566568[Category],"Credit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8">
    <mergeCell ref="N12:O12"/>
    <mergeCell ref="B21:F21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E23:E34" xr:uid="{6E18EE4C-E752-6A43-94CE-8A9EE275AEA6}">
      <formula1>"TRUE,FALSE"</formula1>
      <formula2>0</formula2>
    </dataValidation>
    <dataValidation type="list" allowBlank="1" sqref="C23:C34 J14:J72" xr:uid="{76C4A976-34D7-2E42-930C-7636FB77498C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E7A3-A03A-E14F-8C1F-7B2A572EFB80}">
  <dimension ref="A1:AG72"/>
  <sheetViews>
    <sheetView showGridLines="0" zoomScaleNormal="100" workbookViewId="0">
      <pane ySplit="1" topLeftCell="A2" activePane="bottomLeft" state="frozen"/>
      <selection pane="bottomLeft" activeCell="I12" sqref="I12:L12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20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SUM(IncomeTbl_MonthlySpendingTemplate57244555646770[Amount])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COUNTIF(BillsTbl_MonthlySpendingTemplate59325056656871[Paid?],TRUE())&amp;" / "&amp;COUNTA(BillsTbl_MonthlySpendingTemplate59325056656871[Bill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C8" s="94" t="s">
        <v>107</v>
      </c>
      <c r="D8" s="94"/>
      <c r="E8" s="94"/>
      <c r="F8" s="94"/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SUM(SavingsTbl_MonthlySpendingTemplate60375458666972[Amount])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SUMIFS(BillsTbl_MonthlySpendingTemplate59325056656871[Actual],BillsTbl_MonthlySpendingTemplate59325056656871[Category],"Subscriptions")+SUMIFS(K14:K72,J14:J72,"Subscriptions")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SUMIFS(BillsTbl_MonthlySpendingTemplate59325056656871[Actual],BillsTbl_MonthlySpendingTemplate59325056656871[Category],"Gas")+SUMIFS(K14:K72,J14:J72,"Gas")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SUMIFS(BillsTbl_MonthlySpendingTemplate59325056656871[Actual],BillsTbl_MonthlySpendingTemplate59325056656871[Category],"Other")+SUMIFS(K14:K72,J14:J72,"Other")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SUMIFS(BillsTbl_MonthlySpendingTemplate59325056656871[Actual],BillsTbl_MonthlySpendingTemplate59325056656871[Category],"Groceries")+SUMIFS(K14:K72,J14:J72,"Groceries")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SUMIFS(BillsTbl_MonthlySpendingTemplate59325056656871[Actual],BillsTbl_MonthlySpendingTemplate59325056656871[Category],"Dining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SUMIFS(BillsTbl_MonthlySpendingTemplate59325056656871[Actual],BillsTbl_MonthlySpendingTemplate59325056656871[Category],"Rent")+SUMIFS(K14:K72,J14:J72,"Rent")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SUMIFS(BillsTbl_MonthlySpendingTemplate59325056656871[Actual],BillsTbl_MonthlySpendingTemplate59325056656871[Category],"Shopping")+SUMIFS(K14:K72,J14:J72,"Shopping")</f>
        <v>0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SUMIFS(BillsTbl_MonthlySpendingTemplate59325056656871[Actual],BillsTbl_MonthlySpendingTemplate59325056656871[Category],"Credit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9">
    <mergeCell ref="N12:O12"/>
    <mergeCell ref="B21:F21"/>
    <mergeCell ref="C8:F8"/>
    <mergeCell ref="B6:C6"/>
    <mergeCell ref="D6:E6"/>
    <mergeCell ref="F6:G6"/>
    <mergeCell ref="H6:I6"/>
    <mergeCell ref="J6:K6"/>
    <mergeCell ref="B12:C12"/>
    <mergeCell ref="E12:F12"/>
    <mergeCell ref="I12:L12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C23:C34 J14:J72" xr:uid="{B3A824AF-6AEF-9947-A22A-9B6EEEAC2B03}">
      <formula1>"Subscriptions,Gas,Other,Groceries,Dining out,Rent,Shopping,Credit Card"</formula1>
      <formula2>0</formula2>
    </dataValidation>
    <dataValidation type="list" allowBlank="1" sqref="E23:E34" xr:uid="{8B3D7C68-23BE-ED45-8995-C3482DB238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45FB-90BE-CA42-9915-EE04107C50EE}">
  <dimension ref="A1:AG72"/>
  <sheetViews>
    <sheetView showGridLines="0" zoomScaleNormal="65" workbookViewId="0">
      <pane ySplit="1" topLeftCell="A2" activePane="bottomLeft" state="frozen"/>
      <selection pane="bottomLeft" activeCell="N5" sqref="N5"/>
    </sheetView>
  </sheetViews>
  <sheetFormatPr baseColWidth="10" defaultColWidth="8.5" defaultRowHeight="16" x14ac:dyDescent="0.2"/>
  <cols>
    <col min="1" max="1" width="2" customWidth="1"/>
    <col min="2" max="2" width="18.83203125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O5" s="95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SUM(IncomeTbl_MonthlySpendingTemplate578285[Amount])</f>
        <v>2654.2699999999995</v>
      </c>
      <c r="C6" s="33"/>
      <c r="D6" s="33">
        <f>R6+R11</f>
        <v>981.61</v>
      </c>
      <c r="E6" s="33"/>
      <c r="F6" s="33">
        <f>B6-D6</f>
        <v>1672.6599999999994</v>
      </c>
      <c r="G6" s="33"/>
      <c r="H6" s="34">
        <f>IFERROR(R9/B6,0)</f>
        <v>0.72986922958101486</v>
      </c>
      <c r="I6" s="34"/>
      <c r="J6" s="35" t="str">
        <f>COUNTIF(BillsTbl_MonthlySpendingTemplate598386[Paid?],TRUE())&amp;" / "&amp;COUNTA(BillsTbl_MonthlySpendingTemplate598386[Bill Name])</f>
        <v>6 / 6</v>
      </c>
      <c r="K6" s="36"/>
      <c r="M6" s="41" t="s">
        <v>34</v>
      </c>
      <c r="N6" s="39">
        <f>IF(N5="50/30/20",B6*0.5,IF(N5="70/20/10",B6*0.7,0))</f>
        <v>1327.1349999999998</v>
      </c>
      <c r="O6" s="95" t="s">
        <v>111</v>
      </c>
      <c r="Q6" s="52" t="s">
        <v>9</v>
      </c>
      <c r="R6" s="10">
        <f>O15+O17+O19+O21</f>
        <v>981.61</v>
      </c>
      <c r="T6" t="s">
        <v>10</v>
      </c>
      <c r="U6" s="1" t="str">
        <f>C37</f>
        <v>Savings</v>
      </c>
      <c r="V6" s="1">
        <f>R6</f>
        <v>981.61</v>
      </c>
    </row>
    <row r="7" spans="1:33" ht="20" customHeight="1" x14ac:dyDescent="0.2">
      <c r="M7" s="41" t="s">
        <v>35</v>
      </c>
      <c r="N7" s="39">
        <f>IF(N5="50/30/20",B6*0.3,IF(N5="70/20/10",B6*0.2,0))</f>
        <v>796.28099999999984</v>
      </c>
      <c r="Q7" s="52" t="s">
        <v>11</v>
      </c>
      <c r="R7" s="10">
        <f>O14+O16+O18+O20</f>
        <v>955.65999999999985</v>
      </c>
      <c r="U7" s="1"/>
      <c r="V7" s="1"/>
    </row>
    <row r="8" spans="1:33" ht="20" customHeight="1" thickBot="1" x14ac:dyDescent="0.25">
      <c r="C8" s="94" t="s">
        <v>115</v>
      </c>
      <c r="D8" s="94"/>
      <c r="E8" s="94"/>
      <c r="F8" s="94"/>
      <c r="M8" s="42" t="s">
        <v>36</v>
      </c>
      <c r="N8" s="40">
        <f>IF(N5="50/30/20",B6*0.2,IF(N5="70/20/10",B6*0.1,0))</f>
        <v>530.85399999999993</v>
      </c>
      <c r="Q8" s="53" t="s">
        <v>13</v>
      </c>
      <c r="R8" s="44">
        <f>SUM(SavingsTbl_MonthlySpendingTemplate608487[Amount])</f>
        <v>677.65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1937.27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thickBot="1" x14ac:dyDescent="0.25">
      <c r="T11" t="s">
        <v>12</v>
      </c>
      <c r="U11" s="1" t="str">
        <f>C38</f>
        <v>401K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99" t="s">
        <v>106</v>
      </c>
      <c r="J12" s="100"/>
      <c r="K12" s="100"/>
      <c r="L12" s="101"/>
      <c r="N12" s="92" t="s">
        <v>17</v>
      </c>
      <c r="O12" s="92"/>
      <c r="T12" t="s">
        <v>14</v>
      </c>
      <c r="U12" s="1" t="str">
        <f>C39</f>
        <v>Roth-IRA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102" t="s">
        <v>20</v>
      </c>
      <c r="J13" s="93" t="s">
        <v>21</v>
      </c>
      <c r="K13" s="93" t="s">
        <v>19</v>
      </c>
      <c r="L13" s="103" t="s">
        <v>22</v>
      </c>
      <c r="N13" s="91" t="s">
        <v>21</v>
      </c>
      <c r="O13" s="91" t="s">
        <v>23</v>
      </c>
    </row>
    <row r="14" spans="1:33" x14ac:dyDescent="0.2">
      <c r="B14" s="7" t="s">
        <v>65</v>
      </c>
      <c r="C14" s="9">
        <v>1243.06</v>
      </c>
      <c r="E14" s="7" t="s">
        <v>87</v>
      </c>
      <c r="F14" s="9">
        <v>150</v>
      </c>
      <c r="I14" s="104">
        <v>45871</v>
      </c>
      <c r="J14" s="7" t="s">
        <v>26</v>
      </c>
      <c r="K14" s="9">
        <v>4.95</v>
      </c>
      <c r="L14" s="105"/>
      <c r="N14" s="55" t="s">
        <v>24</v>
      </c>
      <c r="O14" s="2">
        <f>SUMIFS(BillsTbl_MonthlySpendingTemplate598386[Actual],BillsTbl_MonthlySpendingTemplate598386[Category],"Subscriptions")+SUMIFS(K14:K72,J14:J72,"Subscriptions")</f>
        <v>57.309999999999995</v>
      </c>
      <c r="Q14" s="12" t="s">
        <v>98</v>
      </c>
    </row>
    <row r="15" spans="1:33" x14ac:dyDescent="0.2">
      <c r="B15" s="7" t="s">
        <v>66</v>
      </c>
      <c r="C15" s="9">
        <v>1276.72</v>
      </c>
      <c r="E15" s="7" t="s">
        <v>14</v>
      </c>
      <c r="F15" s="9">
        <v>527.65</v>
      </c>
      <c r="I15" s="104">
        <v>45872</v>
      </c>
      <c r="J15" s="7" t="s">
        <v>28</v>
      </c>
      <c r="K15" s="9">
        <v>5.1100000000000003</v>
      </c>
      <c r="L15" s="105"/>
      <c r="N15" s="55" t="s">
        <v>25</v>
      </c>
      <c r="O15" s="2">
        <f>SUMIFS(BillsTbl_MonthlySpendingTemplate598386[Actual],BillsTbl_MonthlySpendingTemplate598386[Category],"Gas")+SUMIFS(K14:K72,J14:J72,"Gas")</f>
        <v>61.61</v>
      </c>
      <c r="Q15" s="12" t="s">
        <v>99</v>
      </c>
    </row>
    <row r="16" spans="1:33" x14ac:dyDescent="0.2">
      <c r="B16" s="7" t="s">
        <v>67</v>
      </c>
      <c r="C16" s="9">
        <v>66.489999999999995</v>
      </c>
      <c r="E16" s="7"/>
      <c r="F16" s="9"/>
      <c r="I16" s="104">
        <v>45875</v>
      </c>
      <c r="J16" s="7" t="s">
        <v>25</v>
      </c>
      <c r="K16" s="9">
        <v>21.36</v>
      </c>
      <c r="L16" s="105"/>
      <c r="N16" s="55" t="s">
        <v>26</v>
      </c>
      <c r="O16" s="2">
        <f>SUMIFS(BillsTbl_MonthlySpendingTemplate598386[Actual],BillsTbl_MonthlySpendingTemplate598386[Category],"Other")+SUMIFS(K14:K72,J14:J72,"Other")</f>
        <v>482.40999999999991</v>
      </c>
      <c r="Q16" s="12" t="s">
        <v>98</v>
      </c>
    </row>
    <row r="17" spans="2:17" x14ac:dyDescent="0.2">
      <c r="B17" s="7" t="s">
        <v>68</v>
      </c>
      <c r="C17" s="9">
        <v>68</v>
      </c>
      <c r="E17" s="7"/>
      <c r="F17" s="9"/>
      <c r="I17" s="104">
        <v>45876</v>
      </c>
      <c r="J17" s="7" t="s">
        <v>30</v>
      </c>
      <c r="K17" s="9">
        <v>103.92</v>
      </c>
      <c r="L17" s="106" t="s">
        <v>101</v>
      </c>
      <c r="N17" s="55" t="s">
        <v>27</v>
      </c>
      <c r="O17" s="2">
        <f>SUMIFS(BillsTbl_MonthlySpendingTemplate598386[Actual],BillsTbl_MonthlySpendingTemplate598386[Category],"Groceries")+SUMIFS(K14:K72,J14:J72,"Groceries")</f>
        <v>70</v>
      </c>
      <c r="Q17" s="12" t="s">
        <v>99</v>
      </c>
    </row>
    <row r="18" spans="2:17" x14ac:dyDescent="0.2">
      <c r="B18" s="7"/>
      <c r="C18" s="9"/>
      <c r="E18" s="7"/>
      <c r="F18" s="9"/>
      <c r="I18" s="104">
        <v>45876</v>
      </c>
      <c r="J18" s="7" t="s">
        <v>28</v>
      </c>
      <c r="K18" s="9">
        <v>13.63</v>
      </c>
      <c r="L18" s="105" t="s">
        <v>69</v>
      </c>
      <c r="N18" s="55" t="s">
        <v>28</v>
      </c>
      <c r="O18" s="2">
        <f>SUMIFS(BillsTbl_MonthlySpendingTemplate598386[Actual],BillsTbl_MonthlySpendingTemplate598386[Category],"Dining out")+SUMIFS(K14:K72,J14:J72,"Dining out")</f>
        <v>168.91000000000003</v>
      </c>
      <c r="Q18" s="12" t="s">
        <v>98</v>
      </c>
    </row>
    <row r="19" spans="2:17" x14ac:dyDescent="0.2">
      <c r="B19" s="7"/>
      <c r="C19" s="9"/>
      <c r="I19" s="104">
        <v>45877</v>
      </c>
      <c r="J19" s="7" t="s">
        <v>26</v>
      </c>
      <c r="K19" s="9">
        <v>5.39</v>
      </c>
      <c r="L19" s="105"/>
      <c r="N19" s="55" t="s">
        <v>29</v>
      </c>
      <c r="O19" s="2">
        <f>SUMIFS(BillsTbl_MonthlySpendingTemplate598386[Actual],BillsTbl_MonthlySpendingTemplate598386[Category],"Rent")+SUMIFS(K14:K72,J14:J72,"Rent")</f>
        <v>650</v>
      </c>
      <c r="Q19" s="12" t="s">
        <v>99</v>
      </c>
    </row>
    <row r="20" spans="2:17" x14ac:dyDescent="0.2">
      <c r="I20" s="104">
        <v>45877</v>
      </c>
      <c r="J20" s="7" t="s">
        <v>28</v>
      </c>
      <c r="K20" s="9">
        <v>10</v>
      </c>
      <c r="L20" s="105" t="s">
        <v>70</v>
      </c>
      <c r="N20" s="55" t="s">
        <v>30</v>
      </c>
      <c r="O20" s="2">
        <f>SUMIFS(BillsTbl_MonthlySpendingTemplate598386[Actual],BillsTbl_MonthlySpendingTemplate598386[Category],"Shopping")+SUMIFS(K14:K72,J14:J72,"Shopping")</f>
        <v>247.03000000000003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104">
        <v>45877</v>
      </c>
      <c r="J21" s="7" t="s">
        <v>28</v>
      </c>
      <c r="K21" s="9">
        <v>8.66</v>
      </c>
      <c r="L21" s="105" t="s">
        <v>71</v>
      </c>
      <c r="N21" s="55" t="s">
        <v>31</v>
      </c>
      <c r="O21" s="2">
        <f>SUMIFS(BillsTbl_MonthlySpendingTemplate598386[Actual],BillsTbl_MonthlySpendingTemplate598386[Category],"Credit Card")+SUMIFS(K14:K72,J14:J72,"Credit Card")</f>
        <v>200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104">
        <v>45878</v>
      </c>
      <c r="J22" s="7" t="s">
        <v>28</v>
      </c>
      <c r="K22" s="9">
        <v>2.61</v>
      </c>
      <c r="L22" s="105"/>
    </row>
    <row r="23" spans="2:17" x14ac:dyDescent="0.2">
      <c r="B23" s="7" t="s">
        <v>29</v>
      </c>
      <c r="C23" s="7" t="s">
        <v>29</v>
      </c>
      <c r="D23" s="9">
        <v>650</v>
      </c>
      <c r="E23" s="7" t="b">
        <v>1</v>
      </c>
      <c r="F23" s="9">
        <f t="shared" ref="F23:F34" si="0">IF(E23=TRUE(),D23,0)</f>
        <v>650</v>
      </c>
      <c r="I23" s="104">
        <v>45879</v>
      </c>
      <c r="J23" s="7" t="s">
        <v>26</v>
      </c>
      <c r="K23" s="9">
        <v>10.81</v>
      </c>
      <c r="L23" s="105"/>
    </row>
    <row r="24" spans="2:17" x14ac:dyDescent="0.2">
      <c r="B24" s="7" t="s">
        <v>77</v>
      </c>
      <c r="C24" s="7" t="s">
        <v>31</v>
      </c>
      <c r="D24" s="9">
        <v>200</v>
      </c>
      <c r="E24" s="7" t="b">
        <v>1</v>
      </c>
      <c r="F24" s="9">
        <f t="shared" si="0"/>
        <v>200</v>
      </c>
      <c r="I24" s="104">
        <v>45880</v>
      </c>
      <c r="J24" s="7" t="s">
        <v>28</v>
      </c>
      <c r="K24" s="9">
        <v>1.46</v>
      </c>
      <c r="L24" s="105" t="s">
        <v>72</v>
      </c>
    </row>
    <row r="25" spans="2:17" x14ac:dyDescent="0.2">
      <c r="B25" s="7" t="s">
        <v>79</v>
      </c>
      <c r="C25" s="7" t="s">
        <v>24</v>
      </c>
      <c r="D25" s="9">
        <v>5.39</v>
      </c>
      <c r="E25" s="7" t="b">
        <v>1</v>
      </c>
      <c r="F25" s="9">
        <f t="shared" si="0"/>
        <v>5.39</v>
      </c>
      <c r="I25" s="104">
        <v>45880</v>
      </c>
      <c r="J25" s="7" t="s">
        <v>28</v>
      </c>
      <c r="K25" s="9">
        <v>6.23</v>
      </c>
      <c r="L25" s="105" t="s">
        <v>73</v>
      </c>
    </row>
    <row r="26" spans="2:17" x14ac:dyDescent="0.2">
      <c r="B26" s="90" t="s">
        <v>117</v>
      </c>
      <c r="C26" s="7" t="s">
        <v>24</v>
      </c>
      <c r="D26" s="9">
        <v>40.04</v>
      </c>
      <c r="E26" s="7" t="b">
        <v>1</v>
      </c>
      <c r="F26" s="9">
        <f t="shared" si="0"/>
        <v>40.04</v>
      </c>
      <c r="I26" s="104">
        <v>45883</v>
      </c>
      <c r="J26" s="7" t="s">
        <v>28</v>
      </c>
      <c r="K26" s="9">
        <v>9.16</v>
      </c>
      <c r="L26" s="105" t="s">
        <v>74</v>
      </c>
    </row>
    <row r="27" spans="2:17" x14ac:dyDescent="0.2">
      <c r="B27" s="7" t="s">
        <v>80</v>
      </c>
      <c r="C27" s="7" t="s">
        <v>24</v>
      </c>
      <c r="D27" s="9">
        <v>6.48</v>
      </c>
      <c r="E27" s="7" t="b">
        <v>1</v>
      </c>
      <c r="F27" s="9">
        <f t="shared" si="0"/>
        <v>6.48</v>
      </c>
      <c r="I27" s="104">
        <v>45884</v>
      </c>
      <c r="J27" s="7" t="s">
        <v>26</v>
      </c>
      <c r="K27" s="9">
        <v>15</v>
      </c>
      <c r="L27" s="105" t="s">
        <v>75</v>
      </c>
    </row>
    <row r="28" spans="2:17" x14ac:dyDescent="0.2">
      <c r="B28" s="90" t="s">
        <v>116</v>
      </c>
      <c r="C28" s="7" t="s">
        <v>24</v>
      </c>
      <c r="D28" s="9">
        <v>5.4</v>
      </c>
      <c r="E28" s="7" t="b">
        <v>1</v>
      </c>
      <c r="F28" s="9">
        <f t="shared" si="0"/>
        <v>5.4</v>
      </c>
      <c r="I28" s="104">
        <v>45886</v>
      </c>
      <c r="J28" s="7" t="s">
        <v>28</v>
      </c>
      <c r="K28" s="9">
        <v>5.41</v>
      </c>
      <c r="L28" s="105" t="s">
        <v>76</v>
      </c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104">
        <v>45888</v>
      </c>
      <c r="J29" s="7" t="s">
        <v>25</v>
      </c>
      <c r="K29" s="9">
        <v>10</v>
      </c>
      <c r="L29" s="105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104">
        <v>45889</v>
      </c>
      <c r="J30" s="7" t="s">
        <v>27</v>
      </c>
      <c r="K30" s="9">
        <v>70</v>
      </c>
      <c r="L30" s="105" t="s">
        <v>78</v>
      </c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104">
        <v>45891</v>
      </c>
      <c r="J31" s="7" t="s">
        <v>30</v>
      </c>
      <c r="K31" s="9">
        <v>19.03</v>
      </c>
      <c r="L31" s="105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104">
        <v>45890</v>
      </c>
      <c r="J32" s="7" t="s">
        <v>28</v>
      </c>
      <c r="K32" s="9">
        <v>2</v>
      </c>
      <c r="L32" s="105" t="s">
        <v>74</v>
      </c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104">
        <v>45891</v>
      </c>
      <c r="J33" s="7" t="s">
        <v>30</v>
      </c>
      <c r="K33" s="9">
        <v>19.03</v>
      </c>
      <c r="L33" s="105" t="s">
        <v>81</v>
      </c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104">
        <v>45891</v>
      </c>
      <c r="J34" s="7" t="s">
        <v>25</v>
      </c>
      <c r="K34" s="9">
        <v>30.25</v>
      </c>
      <c r="L34" s="105"/>
      <c r="Q34" s="12"/>
    </row>
    <row r="35" spans="2:17" x14ac:dyDescent="0.2">
      <c r="I35" s="104">
        <v>45892</v>
      </c>
      <c r="J35" s="7" t="s">
        <v>26</v>
      </c>
      <c r="K35" s="9">
        <v>330.64</v>
      </c>
      <c r="L35" s="106" t="s">
        <v>102</v>
      </c>
    </row>
    <row r="36" spans="2:17" ht="24" customHeight="1" x14ac:dyDescent="0.2">
      <c r="B36" s="97" t="s">
        <v>112</v>
      </c>
      <c r="C36" s="98"/>
      <c r="I36" s="104">
        <v>45892</v>
      </c>
      <c r="J36" s="7" t="s">
        <v>30</v>
      </c>
      <c r="K36" s="9">
        <v>18.16</v>
      </c>
      <c r="L36" s="105" t="s">
        <v>82</v>
      </c>
    </row>
    <row r="37" spans="2:17" x14ac:dyDescent="0.2">
      <c r="B37" s="96">
        <v>1</v>
      </c>
      <c r="C37" s="90" t="s">
        <v>14</v>
      </c>
      <c r="I37" s="104">
        <v>45892</v>
      </c>
      <c r="J37" s="7" t="s">
        <v>30</v>
      </c>
      <c r="K37" s="9">
        <v>22</v>
      </c>
      <c r="L37" s="105" t="s">
        <v>81</v>
      </c>
    </row>
    <row r="38" spans="2:17" x14ac:dyDescent="0.2">
      <c r="B38" s="96">
        <v>2</v>
      </c>
      <c r="C38" s="90" t="s">
        <v>87</v>
      </c>
      <c r="I38" s="104">
        <v>45893</v>
      </c>
      <c r="J38" s="7" t="s">
        <v>28</v>
      </c>
      <c r="K38" s="9">
        <v>2</v>
      </c>
      <c r="L38" s="105" t="s">
        <v>74</v>
      </c>
    </row>
    <row r="39" spans="2:17" x14ac:dyDescent="0.2">
      <c r="B39" s="96">
        <v>3</v>
      </c>
      <c r="C39" s="90" t="s">
        <v>113</v>
      </c>
      <c r="I39" s="104">
        <v>45893</v>
      </c>
      <c r="J39" s="7" t="s">
        <v>28</v>
      </c>
      <c r="K39" s="9">
        <v>16.54</v>
      </c>
      <c r="L39" s="105" t="s">
        <v>83</v>
      </c>
    </row>
    <row r="40" spans="2:17" x14ac:dyDescent="0.2">
      <c r="B40" s="96">
        <v>4</v>
      </c>
      <c r="C40" s="90" t="s">
        <v>114</v>
      </c>
      <c r="I40" s="104">
        <v>45894</v>
      </c>
      <c r="J40" s="7" t="s">
        <v>28</v>
      </c>
      <c r="K40" s="9">
        <v>10.81</v>
      </c>
      <c r="L40" s="105" t="s">
        <v>72</v>
      </c>
    </row>
    <row r="41" spans="2:17" x14ac:dyDescent="0.2">
      <c r="I41" s="104">
        <v>45895</v>
      </c>
      <c r="J41" s="7" t="s">
        <v>28</v>
      </c>
      <c r="K41" s="9">
        <v>6.47</v>
      </c>
      <c r="L41" s="105" t="s">
        <v>84</v>
      </c>
    </row>
    <row r="42" spans="2:17" x14ac:dyDescent="0.2">
      <c r="I42" s="104">
        <v>45895</v>
      </c>
      <c r="J42" s="7" t="s">
        <v>28</v>
      </c>
      <c r="K42" s="9">
        <v>9.18</v>
      </c>
      <c r="L42" s="105" t="s">
        <v>84</v>
      </c>
    </row>
    <row r="43" spans="2:17" x14ac:dyDescent="0.2">
      <c r="I43" s="104">
        <v>45895</v>
      </c>
      <c r="J43" s="7" t="s">
        <v>26</v>
      </c>
      <c r="K43" s="9">
        <v>34.64</v>
      </c>
      <c r="L43" s="105" t="s">
        <v>85</v>
      </c>
    </row>
    <row r="44" spans="2:17" x14ac:dyDescent="0.2">
      <c r="I44" s="104">
        <v>45896</v>
      </c>
      <c r="J44" s="7" t="s">
        <v>28</v>
      </c>
      <c r="K44" s="9">
        <v>9.93</v>
      </c>
      <c r="L44" s="105" t="s">
        <v>86</v>
      </c>
    </row>
    <row r="45" spans="2:17" x14ac:dyDescent="0.2">
      <c r="I45" s="104">
        <v>45897</v>
      </c>
      <c r="J45" s="7" t="s">
        <v>26</v>
      </c>
      <c r="K45" s="9">
        <v>32.46</v>
      </c>
      <c r="L45" s="105" t="s">
        <v>88</v>
      </c>
    </row>
    <row r="46" spans="2:17" x14ac:dyDescent="0.2">
      <c r="I46" s="104">
        <v>45898</v>
      </c>
      <c r="J46" s="7" t="s">
        <v>28</v>
      </c>
      <c r="K46" s="9">
        <v>10.220000000000001</v>
      </c>
      <c r="L46" s="105" t="s">
        <v>74</v>
      </c>
    </row>
    <row r="47" spans="2:17" x14ac:dyDescent="0.2">
      <c r="I47" s="104">
        <v>45898</v>
      </c>
      <c r="J47" s="7" t="s">
        <v>28</v>
      </c>
      <c r="K47" s="9">
        <v>2.61</v>
      </c>
      <c r="L47" s="105" t="s">
        <v>74</v>
      </c>
    </row>
    <row r="48" spans="2:17" x14ac:dyDescent="0.2">
      <c r="I48" s="104">
        <v>45898</v>
      </c>
      <c r="J48" s="7" t="s">
        <v>28</v>
      </c>
      <c r="K48" s="9">
        <v>11.46</v>
      </c>
      <c r="L48" s="105" t="s">
        <v>89</v>
      </c>
    </row>
    <row r="49" spans="9:12" x14ac:dyDescent="0.2">
      <c r="I49" s="104">
        <v>45899</v>
      </c>
      <c r="J49" s="7" t="s">
        <v>28</v>
      </c>
      <c r="K49" s="9">
        <v>3.6</v>
      </c>
      <c r="L49" s="105" t="s">
        <v>90</v>
      </c>
    </row>
    <row r="50" spans="9:12" x14ac:dyDescent="0.2">
      <c r="I50" s="104">
        <v>45899</v>
      </c>
      <c r="J50" s="7" t="s">
        <v>30</v>
      </c>
      <c r="K50" s="9">
        <v>64.89</v>
      </c>
      <c r="L50" s="105" t="s">
        <v>91</v>
      </c>
    </row>
    <row r="51" spans="9:12" x14ac:dyDescent="0.2">
      <c r="I51" s="104">
        <v>45899</v>
      </c>
      <c r="J51" s="7" t="s">
        <v>26</v>
      </c>
      <c r="K51" s="9">
        <v>48.52</v>
      </c>
      <c r="L51" s="105"/>
    </row>
    <row r="52" spans="9:12" x14ac:dyDescent="0.2">
      <c r="I52" s="104">
        <v>45900</v>
      </c>
      <c r="J52" s="7" t="s">
        <v>28</v>
      </c>
      <c r="K52" s="9">
        <v>21.82</v>
      </c>
      <c r="L52" s="105" t="s">
        <v>92</v>
      </c>
    </row>
    <row r="53" spans="9:12" x14ac:dyDescent="0.2">
      <c r="I53" s="104"/>
      <c r="J53" s="7"/>
      <c r="K53" s="47"/>
      <c r="L53" s="105"/>
    </row>
    <row r="54" spans="9:12" x14ac:dyDescent="0.2">
      <c r="I54" s="104"/>
      <c r="J54" s="7"/>
      <c r="K54" s="47"/>
      <c r="L54" s="105"/>
    </row>
    <row r="55" spans="9:12" x14ac:dyDescent="0.2">
      <c r="I55" s="104"/>
      <c r="J55" s="7"/>
      <c r="K55" s="47"/>
      <c r="L55" s="105"/>
    </row>
    <row r="56" spans="9:12" x14ac:dyDescent="0.2">
      <c r="I56" s="104"/>
      <c r="J56" s="7"/>
      <c r="K56" s="47"/>
      <c r="L56" s="105"/>
    </row>
    <row r="57" spans="9:12" x14ac:dyDescent="0.2">
      <c r="I57" s="104"/>
      <c r="J57" s="7"/>
      <c r="K57" s="47"/>
      <c r="L57" s="105"/>
    </row>
    <row r="58" spans="9:12" x14ac:dyDescent="0.2">
      <c r="I58" s="104"/>
      <c r="J58" s="7"/>
      <c r="K58" s="47"/>
      <c r="L58" s="105"/>
    </row>
    <row r="59" spans="9:12" x14ac:dyDescent="0.2">
      <c r="I59" s="104"/>
      <c r="J59" s="7"/>
      <c r="K59" s="47"/>
      <c r="L59" s="105"/>
    </row>
    <row r="60" spans="9:12" x14ac:dyDescent="0.2">
      <c r="I60" s="104"/>
      <c r="J60" s="7"/>
      <c r="K60" s="47"/>
      <c r="L60" s="105"/>
    </row>
    <row r="61" spans="9:12" x14ac:dyDescent="0.2">
      <c r="I61" s="104"/>
      <c r="J61" s="7"/>
      <c r="K61" s="47"/>
      <c r="L61" s="105"/>
    </row>
    <row r="62" spans="9:12" x14ac:dyDescent="0.2">
      <c r="I62" s="104"/>
      <c r="J62" s="7"/>
      <c r="K62" s="47"/>
      <c r="L62" s="105"/>
    </row>
    <row r="63" spans="9:12" x14ac:dyDescent="0.2">
      <c r="I63" s="104"/>
      <c r="J63" s="7"/>
      <c r="K63" s="47"/>
      <c r="L63" s="105"/>
    </row>
    <row r="64" spans="9:12" x14ac:dyDescent="0.2">
      <c r="I64" s="104"/>
      <c r="J64" s="7"/>
      <c r="K64" s="47"/>
      <c r="L64" s="105"/>
    </row>
    <row r="65" spans="9:12" x14ac:dyDescent="0.2">
      <c r="I65" s="104"/>
      <c r="J65" s="7"/>
      <c r="K65" s="47"/>
      <c r="L65" s="105"/>
    </row>
    <row r="66" spans="9:12" x14ac:dyDescent="0.2">
      <c r="I66" s="104"/>
      <c r="J66" s="7"/>
      <c r="K66" s="47"/>
      <c r="L66" s="105"/>
    </row>
    <row r="67" spans="9:12" x14ac:dyDescent="0.2">
      <c r="I67" s="104"/>
      <c r="J67" s="7"/>
      <c r="K67" s="47"/>
      <c r="L67" s="105"/>
    </row>
    <row r="68" spans="9:12" x14ac:dyDescent="0.2">
      <c r="I68" s="104"/>
      <c r="J68" s="7"/>
      <c r="K68" s="47"/>
      <c r="L68" s="105"/>
    </row>
    <row r="69" spans="9:12" x14ac:dyDescent="0.2">
      <c r="I69" s="104"/>
      <c r="J69" s="7"/>
      <c r="K69" s="47"/>
      <c r="L69" s="105"/>
    </row>
    <row r="70" spans="9:12" x14ac:dyDescent="0.2">
      <c r="I70" s="104"/>
      <c r="J70" s="7"/>
      <c r="K70" s="47"/>
      <c r="L70" s="105"/>
    </row>
    <row r="71" spans="9:12" x14ac:dyDescent="0.2">
      <c r="I71" s="104"/>
      <c r="J71" s="7"/>
      <c r="K71" s="47"/>
      <c r="L71" s="105"/>
    </row>
    <row r="72" spans="9:12" ht="17" thickBot="1" x14ac:dyDescent="0.25">
      <c r="I72" s="107"/>
      <c r="J72" s="108"/>
      <c r="K72" s="109"/>
      <c r="L72" s="110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qref="C23:C34 J14:J72" xr:uid="{D4B7D04C-A0E1-F74F-8F4B-3BF582244668}">
      <formula1>"Subscriptions,Gas,Other,Groceries,Dining out,Rent,Shopping,Credit Card"</formula1>
      <formula2>0</formula2>
    </dataValidation>
    <dataValidation type="list" allowBlank="1" sqref="E23:E34" xr:uid="{DB631862-B369-924C-A56C-CECCC15E9042}">
      <formula1>"TRUE,FALSE"</formula1>
      <formula2>0</formula2>
    </dataValidation>
    <dataValidation type="list" allowBlank="1" showInputMessage="1" showErrorMessage="1" sqref="N5" xr:uid="{E42336EC-7B65-2942-9327-13D04FE415B2}">
      <formula1>$O$5:$O$6</formula1>
    </dataValidation>
    <dataValidation type="list" allowBlank="1" showInputMessage="1" showErrorMessage="1" sqref="E14:E18" xr:uid="{547C92FF-9C6F-2E4D-8EF5-D1D6CB918573}">
      <formula1>$C$37:$C$40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B996-D9CF-E34E-AB4F-30DC263389A9}">
  <dimension ref="A1:AG72"/>
  <sheetViews>
    <sheetView showGridLines="0" zoomScaleNormal="100" workbookViewId="0">
      <pane ySplit="1" topLeftCell="A2" activePane="bottomLeft" state="frozen"/>
      <selection pane="bottomLeft" activeCell="X7" sqref="X5:X7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19.5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O5" s="95" t="s">
        <v>33</v>
      </c>
      <c r="Q5" s="17" t="s">
        <v>6</v>
      </c>
      <c r="R5" s="17"/>
      <c r="U5" t="s">
        <v>7</v>
      </c>
      <c r="V5" t="s">
        <v>8</v>
      </c>
      <c r="X5" s="95" t="s">
        <v>10</v>
      </c>
    </row>
    <row r="6" spans="1:33" ht="20" customHeight="1" thickBot="1" x14ac:dyDescent="0.25">
      <c r="B6" s="32">
        <f>SUM(IncomeTbl_MonthlySpendingTemplate5782[Amount])</f>
        <v>2197.54</v>
      </c>
      <c r="C6" s="33"/>
      <c r="D6" s="33">
        <f>R6+R11</f>
        <v>232.24</v>
      </c>
      <c r="E6" s="33"/>
      <c r="F6" s="33">
        <f>B6-D6</f>
        <v>1965.3</v>
      </c>
      <c r="G6" s="33"/>
      <c r="H6" s="34">
        <f>IFERROR(R9/B6,0)</f>
        <v>0.16820171646477425</v>
      </c>
      <c r="I6" s="34"/>
      <c r="J6" s="35" t="str">
        <f>COUNTIF(BillsTbl_MonthlySpendingTemplate5983[Paid?],TRUE())&amp;" / "&amp;COUNTA(BillsTbl_MonthlySpendingTemplate5983[Bill Name])</f>
        <v>2 / 5</v>
      </c>
      <c r="K6" s="36"/>
      <c r="M6" s="41" t="s">
        <v>34</v>
      </c>
      <c r="N6" s="39">
        <f>IF(N5="50/30/20",B6*0.5,IF(N5="70/20/10",B6*0.7,0))</f>
        <v>1098.77</v>
      </c>
      <c r="O6" s="95" t="s">
        <v>111</v>
      </c>
      <c r="Q6" s="52" t="s">
        <v>9</v>
      </c>
      <c r="R6" s="10">
        <f>O15+O17+O19+O21</f>
        <v>232.24</v>
      </c>
      <c r="T6" t="s">
        <v>10</v>
      </c>
      <c r="U6" s="1" t="str">
        <f>C37</f>
        <v>Savings</v>
      </c>
      <c r="V6" s="1">
        <f>R6</f>
        <v>232.24</v>
      </c>
      <c r="X6" s="95" t="s">
        <v>12</v>
      </c>
    </row>
    <row r="7" spans="1:33" ht="20" customHeight="1" x14ac:dyDescent="0.2">
      <c r="M7" s="41" t="s">
        <v>35</v>
      </c>
      <c r="N7" s="39">
        <f>IF(N5="50/30/20",B6*0.3,IF(N5="70/20/10",B6*0.2,0))</f>
        <v>659.26199999999994</v>
      </c>
      <c r="Q7" s="52" t="s">
        <v>11</v>
      </c>
      <c r="R7" s="10">
        <f>O14+O16+O18+O20</f>
        <v>137.38999999999999</v>
      </c>
      <c r="U7" s="1"/>
      <c r="V7" s="1"/>
      <c r="X7" s="95" t="s">
        <v>14</v>
      </c>
    </row>
    <row r="8" spans="1:33" ht="20" customHeight="1" thickBot="1" x14ac:dyDescent="0.25">
      <c r="C8" s="94" t="s">
        <v>115</v>
      </c>
      <c r="D8" s="94"/>
      <c r="E8" s="94"/>
      <c r="F8" s="94"/>
      <c r="M8" s="42" t="s">
        <v>36</v>
      </c>
      <c r="N8" s="40">
        <f>IF(N5="50/30/20",B6*0.2,IF(N5="70/20/10",B6*0.1,0))</f>
        <v>439.50800000000004</v>
      </c>
      <c r="Q8" s="53" t="s">
        <v>13</v>
      </c>
      <c r="R8" s="44">
        <f>SUM(SavingsTbl_MonthlySpendingTemplate6084[Amount])</f>
        <v>365.67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369.63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 t="str">
        <f>C38</f>
        <v>401K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 t="str">
        <f>C39</f>
        <v>Roth-IRA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 t="s">
        <v>93</v>
      </c>
      <c r="C14" s="9">
        <v>1193.3399999999999</v>
      </c>
      <c r="E14" s="7" t="s">
        <v>14</v>
      </c>
      <c r="F14" s="9">
        <v>265.67</v>
      </c>
      <c r="I14" s="8">
        <v>45901</v>
      </c>
      <c r="J14" s="7" t="s">
        <v>30</v>
      </c>
      <c r="K14" s="9">
        <v>24.33</v>
      </c>
      <c r="L14" s="7" t="s">
        <v>94</v>
      </c>
      <c r="N14" s="55" t="s">
        <v>24</v>
      </c>
      <c r="O14" s="2">
        <f>SUMIFS(BillsTbl_MonthlySpendingTemplate5983[Actual],BillsTbl_MonthlySpendingTemplate5983[Category],"Subscriptions")+SUMIFS(K14:K72,J14:J72,"Subscriptions")</f>
        <v>6.48</v>
      </c>
      <c r="Q14" s="12" t="s">
        <v>98</v>
      </c>
    </row>
    <row r="15" spans="1:33" x14ac:dyDescent="0.2">
      <c r="B15" s="7" t="s">
        <v>67</v>
      </c>
      <c r="C15" s="9">
        <v>135</v>
      </c>
      <c r="E15" s="7" t="s">
        <v>113</v>
      </c>
      <c r="F15" s="9">
        <v>100</v>
      </c>
      <c r="I15" s="8">
        <v>45902</v>
      </c>
      <c r="J15" s="7" t="s">
        <v>26</v>
      </c>
      <c r="K15" s="9">
        <v>55.04</v>
      </c>
      <c r="L15" s="7" t="s">
        <v>95</v>
      </c>
      <c r="N15" s="55" t="s">
        <v>25</v>
      </c>
      <c r="O15" s="2">
        <f>SUMIFS(BillsTbl_MonthlySpendingTemplate5983[Actual],BillsTbl_MonthlySpendingTemplate5983[Category],"Gas")+SUMIFS(K14:K72,J14:J72,"Gas")</f>
        <v>32.24</v>
      </c>
      <c r="Q15" s="12" t="s">
        <v>99</v>
      </c>
    </row>
    <row r="16" spans="1:33" x14ac:dyDescent="0.2">
      <c r="B16" s="7" t="s">
        <v>96</v>
      </c>
      <c r="C16" s="9">
        <v>869.2</v>
      </c>
      <c r="E16" s="7"/>
      <c r="F16" s="9"/>
      <c r="I16" s="8">
        <v>45902</v>
      </c>
      <c r="J16" s="7" t="s">
        <v>28</v>
      </c>
      <c r="K16" s="9">
        <v>2.61</v>
      </c>
      <c r="L16" s="7" t="s">
        <v>74</v>
      </c>
      <c r="N16" s="55" t="s">
        <v>26</v>
      </c>
      <c r="O16" s="2">
        <f>SUMIFS(BillsTbl_MonthlySpendingTemplate5983[Actual],BillsTbl_MonthlySpendingTemplate5983[Category],"Other")+SUMIFS(K14:K72,J14:J72,"Other")</f>
        <v>55.04</v>
      </c>
      <c r="Q16" s="12" t="s">
        <v>98</v>
      </c>
    </row>
    <row r="17" spans="2:17" x14ac:dyDescent="0.2">
      <c r="B17" s="7"/>
      <c r="C17" s="9"/>
      <c r="E17" s="7"/>
      <c r="F17" s="9"/>
      <c r="I17" s="8">
        <v>45902</v>
      </c>
      <c r="J17" s="7" t="s">
        <v>28</v>
      </c>
      <c r="K17" s="9">
        <v>9.77</v>
      </c>
      <c r="L17" s="7" t="s">
        <v>92</v>
      </c>
      <c r="N17" s="55" t="s">
        <v>27</v>
      </c>
      <c r="O17" s="2">
        <f>SUMIFS(BillsTbl_MonthlySpendingTemplate5983[Actual],BillsTbl_MonthlySpendingTemplate5983[Category],"Groceries")+SUMIFS(K14:K72,J14:J72,"Groceries")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>
        <v>45902</v>
      </c>
      <c r="J18" s="7" t="s">
        <v>28</v>
      </c>
      <c r="K18" s="9">
        <v>2.76</v>
      </c>
      <c r="L18" s="7" t="s">
        <v>74</v>
      </c>
      <c r="N18" s="55" t="s">
        <v>28</v>
      </c>
      <c r="O18" s="2">
        <f>SUMIFS(BillsTbl_MonthlySpendingTemplate5983[Actual],BillsTbl_MonthlySpendingTemplate5983[Category],"Dining out")+SUMIFS(K14:K72,J14:J72,"Dining out")</f>
        <v>51.54</v>
      </c>
      <c r="Q18" s="12" t="s">
        <v>98</v>
      </c>
    </row>
    <row r="19" spans="2:17" x14ac:dyDescent="0.2">
      <c r="B19" s="7"/>
      <c r="C19" s="9"/>
      <c r="I19" s="8">
        <v>45902</v>
      </c>
      <c r="J19" s="7" t="s">
        <v>28</v>
      </c>
      <c r="K19" s="9">
        <v>7.53</v>
      </c>
      <c r="L19" s="7" t="s">
        <v>74</v>
      </c>
      <c r="N19" s="55" t="s">
        <v>29</v>
      </c>
      <c r="O19" s="2">
        <f>SUMIFS(BillsTbl_MonthlySpendingTemplate5983[Actual],BillsTbl_MonthlySpendingTemplate5983[Category],"Rent")+SUMIFS(K14:K72,J14:J72,"Rent")</f>
        <v>0</v>
      </c>
      <c r="Q19" s="12" t="s">
        <v>99</v>
      </c>
    </row>
    <row r="20" spans="2:17" x14ac:dyDescent="0.2">
      <c r="I20" s="8">
        <v>45903</v>
      </c>
      <c r="J20" s="7" t="s">
        <v>28</v>
      </c>
      <c r="K20" s="9">
        <v>21.16</v>
      </c>
      <c r="L20" s="7" t="s">
        <v>97</v>
      </c>
      <c r="N20" s="55" t="s">
        <v>30</v>
      </c>
      <c r="O20" s="2">
        <f>SUMIFS(BillsTbl_MonthlySpendingTemplate5983[Actual],BillsTbl_MonthlySpendingTemplate5983[Category],"Shopping")+SUMIFS(K14:K72,J14:J72,"Shopping")</f>
        <v>24.33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>
        <v>45903</v>
      </c>
      <c r="J21" s="7" t="s">
        <v>28</v>
      </c>
      <c r="K21" s="9">
        <v>7.71</v>
      </c>
      <c r="L21" s="7" t="s">
        <v>86</v>
      </c>
      <c r="N21" s="55" t="s">
        <v>31</v>
      </c>
      <c r="O21" s="2">
        <f>SUMIFS(BillsTbl_MonthlySpendingTemplate5983[Actual],BillsTbl_MonthlySpendingTemplate5983[Category],"Credit Card")+SUMIFS(K14:K72,J14:J72,"Credit Card")</f>
        <v>200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>
        <v>45903</v>
      </c>
      <c r="J22" s="7" t="s">
        <v>25</v>
      </c>
      <c r="K22" s="9">
        <v>32.24</v>
      </c>
      <c r="L22" s="7"/>
    </row>
    <row r="23" spans="2:17" x14ac:dyDescent="0.2">
      <c r="B23" s="7" t="s">
        <v>29</v>
      </c>
      <c r="C23" s="7" t="s">
        <v>29</v>
      </c>
      <c r="D23" s="11">
        <v>650</v>
      </c>
      <c r="E23" s="7" t="b">
        <f>FALSE()</f>
        <v>0</v>
      </c>
      <c r="F23" s="9">
        <f t="shared" ref="F23:F27" si="0">IF(E23=TRUE(),D23,0)</f>
        <v>0</v>
      </c>
      <c r="I23" s="8"/>
      <c r="J23" s="7"/>
      <c r="K23" s="47"/>
      <c r="L23" s="7"/>
    </row>
    <row r="24" spans="2:17" x14ac:dyDescent="0.2">
      <c r="B24" s="7" t="s">
        <v>77</v>
      </c>
      <c r="C24" s="7" t="s">
        <v>31</v>
      </c>
      <c r="D24" s="11">
        <v>200</v>
      </c>
      <c r="E24" s="7" t="b">
        <f>TRUE()</f>
        <v>1</v>
      </c>
      <c r="F24" s="9">
        <f t="shared" si="0"/>
        <v>200</v>
      </c>
      <c r="I24" s="8"/>
      <c r="J24" s="7"/>
      <c r="K24" s="47"/>
      <c r="L24" s="7"/>
    </row>
    <row r="25" spans="2:17" x14ac:dyDescent="0.2">
      <c r="B25" s="7" t="s">
        <v>79</v>
      </c>
      <c r="C25" s="7" t="s">
        <v>24</v>
      </c>
      <c r="D25" s="11">
        <v>5.39</v>
      </c>
      <c r="E25" s="7" t="b">
        <f>FALSE()</f>
        <v>0</v>
      </c>
      <c r="F25" s="9">
        <f t="shared" si="0"/>
        <v>0</v>
      </c>
      <c r="I25" s="8"/>
      <c r="J25" s="7"/>
      <c r="K25" s="47"/>
      <c r="L25" s="7"/>
    </row>
    <row r="26" spans="2:17" x14ac:dyDescent="0.2">
      <c r="B26" s="7" t="s">
        <v>95</v>
      </c>
      <c r="C26" s="7" t="s">
        <v>24</v>
      </c>
      <c r="D26" s="11">
        <v>40.04</v>
      </c>
      <c r="E26" s="7" t="b">
        <f>FALSE()</f>
        <v>0</v>
      </c>
      <c r="F26" s="9">
        <f t="shared" si="0"/>
        <v>0</v>
      </c>
      <c r="I26" s="8"/>
      <c r="J26" s="7"/>
      <c r="K26" s="47"/>
      <c r="L26" s="7"/>
    </row>
    <row r="27" spans="2:17" x14ac:dyDescent="0.2">
      <c r="B27" s="7" t="s">
        <v>80</v>
      </c>
      <c r="C27" s="7" t="s">
        <v>24</v>
      </c>
      <c r="D27" s="11">
        <v>6.48</v>
      </c>
      <c r="E27" s="7" t="b">
        <f>TRUE()</f>
        <v>1</v>
      </c>
      <c r="F27" s="9">
        <f t="shared" si="0"/>
        <v>6.48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/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/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/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/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/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/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/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ht="24" customHeight="1" x14ac:dyDescent="0.2">
      <c r="B36" s="97" t="s">
        <v>112</v>
      </c>
      <c r="C36" s="98"/>
      <c r="I36" s="8"/>
      <c r="J36" s="7"/>
      <c r="K36" s="47"/>
      <c r="L36" s="7"/>
    </row>
    <row r="37" spans="2:17" x14ac:dyDescent="0.2">
      <c r="B37" s="96">
        <v>1</v>
      </c>
      <c r="C37" s="90" t="s">
        <v>14</v>
      </c>
      <c r="I37" s="8"/>
      <c r="J37" s="7"/>
      <c r="K37" s="47"/>
      <c r="L37" s="7"/>
    </row>
    <row r="38" spans="2:17" x14ac:dyDescent="0.2">
      <c r="B38" s="96">
        <v>2</v>
      </c>
      <c r="C38" s="90" t="s">
        <v>87</v>
      </c>
      <c r="I38" s="8"/>
      <c r="J38" s="7"/>
      <c r="K38" s="47"/>
      <c r="L38" s="7"/>
    </row>
    <row r="39" spans="2:17" x14ac:dyDescent="0.2">
      <c r="B39" s="96">
        <v>3</v>
      </c>
      <c r="C39" s="90" t="s">
        <v>113</v>
      </c>
      <c r="I39" s="8"/>
      <c r="J39" s="7"/>
      <c r="K39" s="47"/>
      <c r="L39" s="7"/>
    </row>
    <row r="40" spans="2:17" x14ac:dyDescent="0.2">
      <c r="B40" s="96">
        <v>4</v>
      </c>
      <c r="C40" s="90" t="s">
        <v>114</v>
      </c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20">
    <mergeCell ref="B12:C12"/>
    <mergeCell ref="E12:F12"/>
    <mergeCell ref="I12:L12"/>
    <mergeCell ref="N12:O12"/>
    <mergeCell ref="B21:F21"/>
    <mergeCell ref="B36:C36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4">
    <dataValidation type="list" allowBlank="1" showInputMessage="1" showErrorMessage="1" sqref="E14:E18" xr:uid="{67D6CEDC-97B2-134B-A961-FDF16D6992BD}">
      <formula1>$C$37:$C$40</formula1>
    </dataValidation>
    <dataValidation type="list" allowBlank="1" showInputMessage="1" showErrorMessage="1" sqref="N5" xr:uid="{41BB2F18-F8D5-F64D-BFA8-4097105E3BD6}">
      <formula1>$O$5:$O$6</formula1>
    </dataValidation>
    <dataValidation type="list" allowBlank="1" sqref="E23:E34" xr:uid="{BDC3AEA9-5847-1049-84A6-DA7E9B71A827}">
      <formula1>"TRUE,FALSE"</formula1>
      <formula2>0</formula2>
    </dataValidation>
    <dataValidation type="list" allowBlank="1" sqref="C23:C34 J14:J72" xr:uid="{731D2C92-B9D0-0C42-B92E-D0A580657A79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F5AF-9523-DD48-9C2F-7D452FCD91F0}">
  <dimension ref="A1:AG72"/>
  <sheetViews>
    <sheetView showGridLines="0" zoomScaleNormal="100" workbookViewId="0">
      <pane ySplit="1" topLeftCell="A2" activePane="bottomLeft" state="frozen"/>
      <selection pane="bottomLeft" activeCell="I12" sqref="I12:L12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20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SUM(IncomeTbl_MonthlySpendingTemplate5724455564677073[Amount])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COUNTIF(BillsTbl_MonthlySpendingTemplate5932505665687174[Paid?],TRUE())&amp;" / "&amp;COUNTA(BillsTbl_MonthlySpendingTemplate5932505665687174[Bill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C8" s="94" t="s">
        <v>107</v>
      </c>
      <c r="D8" s="94"/>
      <c r="E8" s="94"/>
      <c r="F8" s="94"/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SUM(SavingsTbl_MonthlySpendingTemplate6037545866697275[Amount])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SUMIFS(BillsTbl_MonthlySpendingTemplate5932505665687174[Actual],BillsTbl_MonthlySpendingTemplate5932505665687174[Category],"Subscriptions")+SUMIFS(K14:K72,J14:J72,"Subscriptions")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SUMIFS(BillsTbl_MonthlySpendingTemplate5932505665687174[Actual],BillsTbl_MonthlySpendingTemplate5932505665687174[Category],"Gas")+SUMIFS(K14:K72,J14:J72,"Gas")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SUMIFS(BillsTbl_MonthlySpendingTemplate5932505665687174[Actual],BillsTbl_MonthlySpendingTemplate5932505665687174[Category],"Other")+SUMIFS(K14:K72,J14:J72,"Other")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SUMIFS(BillsTbl_MonthlySpendingTemplate5932505665687174[Actual],BillsTbl_MonthlySpendingTemplate5932505665687174[Category],"Groceries")+SUMIFS(K14:K72,J14:J72,"Groceries")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SUMIFS(BillsTbl_MonthlySpendingTemplate5932505665687174[Actual],BillsTbl_MonthlySpendingTemplate5932505665687174[Category],"Dining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SUMIFS(BillsTbl_MonthlySpendingTemplate5932505665687174[Actual],BillsTbl_MonthlySpendingTemplate5932505665687174[Category],"Rent")+SUMIFS(K14:K72,J14:J72,"Rent")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SUMIFS(BillsTbl_MonthlySpendingTemplate5932505665687174[Actual],BillsTbl_MonthlySpendingTemplate5932505665687174[Category],"Shopping")+SUMIFS(K14:K72,J14:J72,"Shopping")</f>
        <v>0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SUMIFS(BillsTbl_MonthlySpendingTemplate5932505665687174[Actual],BillsTbl_MonthlySpendingTemplate5932505665687174[Category],"Credit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9">
    <mergeCell ref="B12:C12"/>
    <mergeCell ref="E12:F12"/>
    <mergeCell ref="I12:L12"/>
    <mergeCell ref="N12:O12"/>
    <mergeCell ref="B21:F21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E23:E34" xr:uid="{40455D94-F169-4148-B9CD-EFC831E985A5}">
      <formula1>"TRUE,FALSE"</formula1>
      <formula2>0</formula2>
    </dataValidation>
    <dataValidation type="list" allowBlank="1" sqref="C23:C34 J14:J72" xr:uid="{521B0FB2-4265-D744-BB26-58611FBFB1D3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4F65-2116-FF42-8926-DCC92D8A7478}">
  <dimension ref="A1:AG72"/>
  <sheetViews>
    <sheetView showGridLines="0" zoomScaleNormal="100" workbookViewId="0">
      <pane ySplit="1" topLeftCell="A2" activePane="bottomLeft" state="frozen"/>
      <selection pane="bottomLeft" activeCell="I12" sqref="I12:L12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20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SUM(IncomeTbl_MonthlySpendingTemplate572445556467707376[Amount])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COUNTIF(BillsTbl_MonthlySpendingTemplate593250566568717477[Paid?],TRUE())&amp;" / "&amp;COUNTA(BillsTbl_MonthlySpendingTemplate593250566568717477[Bill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C8" s="94" t="s">
        <v>107</v>
      </c>
      <c r="D8" s="94"/>
      <c r="E8" s="94"/>
      <c r="F8" s="94"/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SUM(SavingsTbl_MonthlySpendingTemplate603754586669727578[Amount])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SUMIFS(BillsTbl_MonthlySpendingTemplate593250566568717477[Actual],BillsTbl_MonthlySpendingTemplate593250566568717477[Category],"Subscriptions")+SUMIFS(K14:K72,J14:J72,"Subscriptions")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SUMIFS(BillsTbl_MonthlySpendingTemplate593250566568717477[Actual],BillsTbl_MonthlySpendingTemplate593250566568717477[Category],"Gas")+SUMIFS(K14:K72,J14:J72,"Gas")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SUMIFS(BillsTbl_MonthlySpendingTemplate593250566568717477[Actual],BillsTbl_MonthlySpendingTemplate593250566568717477[Category],"Other")+SUMIFS(K14:K72,J14:J72,"Other")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SUMIFS(BillsTbl_MonthlySpendingTemplate593250566568717477[Actual],BillsTbl_MonthlySpendingTemplate593250566568717477[Category],"Groceries")+SUMIFS(K14:K72,J14:J72,"Groceries")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SUMIFS(BillsTbl_MonthlySpendingTemplate593250566568717477[Actual],BillsTbl_MonthlySpendingTemplate593250566568717477[Category],"Dining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SUMIFS(BillsTbl_MonthlySpendingTemplate593250566568717477[Actual],BillsTbl_MonthlySpendingTemplate593250566568717477[Category],"Rent")+SUMIFS(K14:K72,J14:J72,"Rent")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SUMIFS(BillsTbl_MonthlySpendingTemplate593250566568717477[Actual],BillsTbl_MonthlySpendingTemplate593250566568717477[Category],"Shopping")+SUMIFS(K14:K72,J14:J72,"Shopping")</f>
        <v>0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SUMIFS(BillsTbl_MonthlySpendingTemplate593250566568717477[Actual],BillsTbl_MonthlySpendingTemplate593250566568717477[Category],"Credit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9">
    <mergeCell ref="B12:C12"/>
    <mergeCell ref="E12:F12"/>
    <mergeCell ref="I12:L12"/>
    <mergeCell ref="N12:O12"/>
    <mergeCell ref="B21:F21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C23:C34 J14:J72" xr:uid="{0F98AA69-1E3B-F142-803A-86B49B48A5AF}">
      <formula1>"Subscriptions,Gas,Other,Groceries,Dining out,Rent,Shopping,Credit Card"</formula1>
      <formula2>0</formula2>
    </dataValidation>
    <dataValidation type="list" allowBlank="1" sqref="E23:E34" xr:uid="{4C3DC239-2C53-D749-8B27-3FC1B846A60E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FD19-DCEF-B744-9FCF-CF80D6F7082D}">
  <dimension ref="A1:AG72"/>
  <sheetViews>
    <sheetView showGridLines="0" zoomScaleNormal="100" workbookViewId="0">
      <pane ySplit="1" topLeftCell="A2" activePane="bottomLeft" state="frozen"/>
      <selection pane="bottomLeft" activeCell="O5" sqref="O5"/>
    </sheetView>
  </sheetViews>
  <sheetFormatPr baseColWidth="10" defaultColWidth="8.5" defaultRowHeight="16" x14ac:dyDescent="0.2"/>
  <cols>
    <col min="1" max="1" width="2" customWidth="1"/>
    <col min="2" max="2" width="16" customWidth="1"/>
    <col min="3" max="3" width="13.5" customWidth="1"/>
    <col min="4" max="4" width="12.1640625" customWidth="1"/>
    <col min="5" max="5" width="13.1640625" customWidth="1"/>
    <col min="6" max="6" width="13.5" customWidth="1"/>
    <col min="7" max="7" width="6.33203125" customWidth="1"/>
    <col min="8" max="8" width="6.5" customWidth="1"/>
    <col min="9" max="9" width="12" customWidth="1"/>
    <col min="10" max="10" width="14" customWidth="1"/>
    <col min="11" max="11" width="10" customWidth="1"/>
    <col min="12" max="12" width="32.83203125" customWidth="1"/>
    <col min="13" max="13" width="13.83203125" customWidth="1"/>
    <col min="14" max="14" width="14" customWidth="1"/>
    <col min="15" max="15" width="10" customWidth="1"/>
    <col min="16" max="16" width="2" customWidth="1"/>
    <col min="17" max="17" width="14" customWidth="1"/>
    <col min="18" max="18" width="10" customWidth="1"/>
    <col min="19" max="19" width="2" customWidth="1"/>
    <col min="20" max="20" width="8" hidden="1" customWidth="1"/>
    <col min="21" max="22" width="10" hidden="1" customWidth="1"/>
    <col min="24" max="24" width="12.5" bestFit="1" customWidth="1"/>
    <col min="25" max="25" width="15.33203125" customWidth="1"/>
  </cols>
  <sheetData>
    <row r="1" spans="1:33" ht="20" customHeight="1" x14ac:dyDescent="0.2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ht="19.5" customHeight="1" x14ac:dyDescent="0.2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 ht="19.5" customHeight="1" thickBo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</row>
    <row r="4" spans="1:33" ht="5" customHeight="1" thickBot="1" x14ac:dyDescent="0.25"/>
    <row r="5" spans="1:33" ht="27" customHeight="1" x14ac:dyDescent="0.2">
      <c r="B5" s="29" t="s">
        <v>1</v>
      </c>
      <c r="C5" s="30"/>
      <c r="D5" s="30" t="s">
        <v>2</v>
      </c>
      <c r="E5" s="30"/>
      <c r="F5" s="30" t="s">
        <v>3</v>
      </c>
      <c r="G5" s="30"/>
      <c r="H5" s="30" t="s">
        <v>4</v>
      </c>
      <c r="I5" s="30"/>
      <c r="J5" s="30" t="s">
        <v>5</v>
      </c>
      <c r="K5" s="31"/>
      <c r="M5" s="37" t="s">
        <v>32</v>
      </c>
      <c r="N5" s="38" t="s">
        <v>33</v>
      </c>
      <c r="Q5" s="17" t="s">
        <v>6</v>
      </c>
      <c r="R5" s="17"/>
      <c r="U5" t="s">
        <v>7</v>
      </c>
      <c r="V5" t="s">
        <v>8</v>
      </c>
    </row>
    <row r="6" spans="1:33" ht="20" customHeight="1" thickBot="1" x14ac:dyDescent="0.25">
      <c r="B6" s="32">
        <f>SUM(IncomeTbl_MonthlySpendingTemplate57244555646770737679[Amount])</f>
        <v>0</v>
      </c>
      <c r="C6" s="33"/>
      <c r="D6" s="33">
        <f>R6+R11</f>
        <v>0</v>
      </c>
      <c r="E6" s="33"/>
      <c r="F6" s="33">
        <f>B6-D6</f>
        <v>0</v>
      </c>
      <c r="G6" s="33"/>
      <c r="H6" s="34">
        <f>IFERROR(R9/B6,0)</f>
        <v>0</v>
      </c>
      <c r="I6" s="34"/>
      <c r="J6" s="35" t="str">
        <f>COUNTIF(BillsTbl_MonthlySpendingTemplate59325056656871747780[Paid?],TRUE())&amp;" / "&amp;COUNTA(BillsTbl_MonthlySpendingTemplate59325056656871747780[Bill Name])</f>
        <v>0 / 0</v>
      </c>
      <c r="K6" s="36"/>
      <c r="M6" s="41" t="s">
        <v>34</v>
      </c>
      <c r="N6" s="39">
        <f>IF(N5="50/30/20",B6*0.5,IF(N5="70/20/10",B6*0.7,0))</f>
        <v>0</v>
      </c>
      <c r="Q6" s="52" t="s">
        <v>9</v>
      </c>
      <c r="R6" s="10">
        <f>O15+O17+O19+O21</f>
        <v>0</v>
      </c>
      <c r="T6" t="s">
        <v>10</v>
      </c>
      <c r="U6" s="1">
        <f>C37</f>
        <v>0</v>
      </c>
      <c r="V6" s="1">
        <f>R6</f>
        <v>0</v>
      </c>
    </row>
    <row r="7" spans="1:33" ht="20" customHeight="1" x14ac:dyDescent="0.2">
      <c r="M7" s="41" t="s">
        <v>35</v>
      </c>
      <c r="N7" s="39">
        <f>IF(N5="50/30/20",B6*0.3,IF(N5="70/20/10",B6*0.2,0))</f>
        <v>0</v>
      </c>
      <c r="Q7" s="52" t="s">
        <v>11</v>
      </c>
      <c r="R7" s="10">
        <f>O14+O16+O18+O20</f>
        <v>0</v>
      </c>
      <c r="U7" s="1"/>
      <c r="V7" s="1"/>
    </row>
    <row r="8" spans="1:33" ht="20" customHeight="1" thickBot="1" x14ac:dyDescent="0.25">
      <c r="C8" s="94" t="s">
        <v>107</v>
      </c>
      <c r="D8" s="94"/>
      <c r="E8" s="94"/>
      <c r="F8" s="94"/>
      <c r="M8" s="42" t="s">
        <v>36</v>
      </c>
      <c r="N8" s="40">
        <f>IF(N5="50/30/20",B6*0.2,IF(N5="70/20/10",B6*0.1,0))</f>
        <v>0</v>
      </c>
      <c r="Q8" s="53" t="s">
        <v>13</v>
      </c>
      <c r="R8" s="44">
        <f>SUM(SavingsTbl_MonthlySpendingTemplate60375458666972757881[Amount])</f>
        <v>0</v>
      </c>
      <c r="U8" s="1"/>
      <c r="V8" s="1"/>
    </row>
    <row r="9" spans="1:33" ht="20" customHeight="1" thickBo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4" t="s">
        <v>2</v>
      </c>
      <c r="R9" s="43">
        <f>R6+R7</f>
        <v>0</v>
      </c>
      <c r="S9" s="45"/>
      <c r="T9" s="19"/>
      <c r="U9" s="46"/>
      <c r="V9" s="46"/>
      <c r="W9" s="19"/>
      <c r="X9" s="19"/>
      <c r="Y9" s="19"/>
      <c r="Z9" s="19"/>
    </row>
    <row r="10" spans="1:33" ht="20" customHeight="1" thickTop="1" x14ac:dyDescent="0.2">
      <c r="U10" s="1"/>
      <c r="V10" s="1"/>
    </row>
    <row r="11" spans="1:33" ht="8" customHeight="1" x14ac:dyDescent="0.2">
      <c r="T11" t="s">
        <v>12</v>
      </c>
      <c r="U11" s="1">
        <f>C38</f>
        <v>0</v>
      </c>
      <c r="V11" s="1">
        <f>R11</f>
        <v>0</v>
      </c>
    </row>
    <row r="12" spans="1:33" ht="28" customHeight="1" x14ac:dyDescent="0.25">
      <c r="B12" s="48" t="s">
        <v>103</v>
      </c>
      <c r="C12" s="50"/>
      <c r="D12" s="51"/>
      <c r="E12" s="48" t="s">
        <v>104</v>
      </c>
      <c r="F12" s="50"/>
      <c r="G12" s="51"/>
      <c r="H12" s="51"/>
      <c r="I12" s="48" t="s">
        <v>106</v>
      </c>
      <c r="J12" s="49"/>
      <c r="K12" s="49"/>
      <c r="L12" s="50"/>
      <c r="N12" s="92" t="s">
        <v>17</v>
      </c>
      <c r="O12" s="92"/>
      <c r="T12" t="s">
        <v>14</v>
      </c>
      <c r="U12" s="1">
        <f>C39</f>
        <v>0</v>
      </c>
      <c r="V12" s="1">
        <f>R12</f>
        <v>0</v>
      </c>
    </row>
    <row r="13" spans="1:33" x14ac:dyDescent="0.2">
      <c r="B13" s="93" t="s">
        <v>18</v>
      </c>
      <c r="C13" s="93" t="s">
        <v>19</v>
      </c>
      <c r="E13" s="93" t="s">
        <v>41</v>
      </c>
      <c r="F13" s="93" t="s">
        <v>19</v>
      </c>
      <c r="I13" s="93" t="s">
        <v>20</v>
      </c>
      <c r="J13" s="93" t="s">
        <v>21</v>
      </c>
      <c r="K13" s="93" t="s">
        <v>19</v>
      </c>
      <c r="L13" s="93" t="s">
        <v>22</v>
      </c>
      <c r="N13" s="91" t="s">
        <v>21</v>
      </c>
      <c r="O13" s="91" t="s">
        <v>23</v>
      </c>
    </row>
    <row r="14" spans="1:33" x14ac:dyDescent="0.2">
      <c r="B14" s="7"/>
      <c r="C14" s="9"/>
      <c r="E14" s="7"/>
      <c r="F14" s="9"/>
      <c r="I14" s="8"/>
      <c r="J14" s="7"/>
      <c r="K14" s="47"/>
      <c r="L14" s="7"/>
      <c r="N14" s="55" t="s">
        <v>24</v>
      </c>
      <c r="O14" s="2">
        <f>SUMIFS(BillsTbl_MonthlySpendingTemplate59325056656871747780[Actual],BillsTbl_MonthlySpendingTemplate59325056656871747780[Category],"Subscriptions")+SUMIFS(K14:K72,J14:J72,"Subscriptions")</f>
        <v>0</v>
      </c>
      <c r="Q14" s="12" t="s">
        <v>98</v>
      </c>
    </row>
    <row r="15" spans="1:33" x14ac:dyDescent="0.2">
      <c r="B15" s="7"/>
      <c r="C15" s="9"/>
      <c r="E15" s="7"/>
      <c r="F15" s="9"/>
      <c r="I15" s="8"/>
      <c r="J15" s="7"/>
      <c r="K15" s="47"/>
      <c r="L15" s="7"/>
      <c r="N15" s="55" t="s">
        <v>25</v>
      </c>
      <c r="O15" s="2">
        <f>SUMIFS(BillsTbl_MonthlySpendingTemplate59325056656871747780[Actual],BillsTbl_MonthlySpendingTemplate59325056656871747780[Category],"Gas")+SUMIFS(K14:K72,J14:J72,"Gas")</f>
        <v>0</v>
      </c>
      <c r="Q15" s="12" t="s">
        <v>99</v>
      </c>
    </row>
    <row r="16" spans="1:33" x14ac:dyDescent="0.2">
      <c r="B16" s="7"/>
      <c r="C16" s="9"/>
      <c r="E16" s="7"/>
      <c r="F16" s="9"/>
      <c r="I16" s="8"/>
      <c r="J16" s="7"/>
      <c r="K16" s="47"/>
      <c r="L16" s="7"/>
      <c r="N16" s="55" t="s">
        <v>26</v>
      </c>
      <c r="O16" s="2">
        <f>SUMIFS(BillsTbl_MonthlySpendingTemplate59325056656871747780[Actual],BillsTbl_MonthlySpendingTemplate59325056656871747780[Category],"Other")+SUMIFS(K14:K72,J14:J72,"Other")</f>
        <v>0</v>
      </c>
      <c r="Q16" s="12" t="s">
        <v>98</v>
      </c>
    </row>
    <row r="17" spans="2:17" x14ac:dyDescent="0.2">
      <c r="B17" s="7"/>
      <c r="C17" s="9"/>
      <c r="E17" s="7"/>
      <c r="F17" s="9"/>
      <c r="I17" s="8"/>
      <c r="J17" s="7"/>
      <c r="K17" s="47"/>
      <c r="L17" s="7"/>
      <c r="N17" s="55" t="s">
        <v>27</v>
      </c>
      <c r="O17" s="2">
        <f>SUMIFS(BillsTbl_MonthlySpendingTemplate59325056656871747780[Actual],BillsTbl_MonthlySpendingTemplate59325056656871747780[Category],"Groceries")+SUMIFS(K14:K72,J14:J72,"Groceries")</f>
        <v>0</v>
      </c>
      <c r="Q17" s="12" t="s">
        <v>99</v>
      </c>
    </row>
    <row r="18" spans="2:17" x14ac:dyDescent="0.2">
      <c r="B18" s="7"/>
      <c r="C18" s="9"/>
      <c r="E18" s="7"/>
      <c r="F18" s="9"/>
      <c r="I18" s="8"/>
      <c r="J18" s="7"/>
      <c r="K18" s="47"/>
      <c r="L18" s="7"/>
      <c r="N18" s="55" t="s">
        <v>28</v>
      </c>
      <c r="O18" s="2">
        <f>SUMIFS(BillsTbl_MonthlySpendingTemplate59325056656871747780[Actual],BillsTbl_MonthlySpendingTemplate59325056656871747780[Category],"Dining out")+SUMIFS(K14:K72,J14:J72,"Dining out")</f>
        <v>0</v>
      </c>
      <c r="Q18" s="12" t="s">
        <v>98</v>
      </c>
    </row>
    <row r="19" spans="2:17" x14ac:dyDescent="0.2">
      <c r="B19" s="7"/>
      <c r="C19" s="9"/>
      <c r="I19" s="8"/>
      <c r="J19" s="7"/>
      <c r="K19" s="47"/>
      <c r="L19" s="7"/>
      <c r="N19" s="55" t="s">
        <v>29</v>
      </c>
      <c r="O19" s="2">
        <f>SUMIFS(BillsTbl_MonthlySpendingTemplate59325056656871747780[Actual],BillsTbl_MonthlySpendingTemplate59325056656871747780[Category],"Rent")+SUMIFS(K14:K72,J14:J72,"Rent")</f>
        <v>0</v>
      </c>
      <c r="Q19" s="12" t="s">
        <v>99</v>
      </c>
    </row>
    <row r="20" spans="2:17" x14ac:dyDescent="0.2">
      <c r="I20" s="8"/>
      <c r="J20" s="7"/>
      <c r="K20" s="47"/>
      <c r="L20" s="7"/>
      <c r="N20" s="55" t="s">
        <v>30</v>
      </c>
      <c r="O20" s="2">
        <f>SUMIFS(BillsTbl_MonthlySpendingTemplate59325056656871747780[Actual],BillsTbl_MonthlySpendingTemplate59325056656871747780[Category],"Shopping")+SUMIFS(K14:K72,J14:J72,"Shopping")</f>
        <v>0</v>
      </c>
      <c r="Q20" s="12" t="s">
        <v>98</v>
      </c>
    </row>
    <row r="21" spans="2:17" ht="19" x14ac:dyDescent="0.2">
      <c r="B21" s="48" t="s">
        <v>105</v>
      </c>
      <c r="C21" s="49"/>
      <c r="D21" s="49"/>
      <c r="E21" s="49"/>
      <c r="F21" s="50"/>
      <c r="I21" s="8"/>
      <c r="J21" s="7"/>
      <c r="K21" s="47"/>
      <c r="L21" s="7"/>
      <c r="N21" s="55" t="s">
        <v>31</v>
      </c>
      <c r="O21" s="2">
        <f>SUMIFS(BillsTbl_MonthlySpendingTemplate59325056656871747780[Actual],BillsTbl_MonthlySpendingTemplate59325056656871747780[Category],"Credit Card")+SUMIFS(K14:K72,J14:J72,"Credit Card")</f>
        <v>0</v>
      </c>
      <c r="Q21" s="12" t="s">
        <v>100</v>
      </c>
    </row>
    <row r="22" spans="2:17" x14ac:dyDescent="0.2">
      <c r="B22" s="93" t="s">
        <v>38</v>
      </c>
      <c r="C22" s="93" t="s">
        <v>21</v>
      </c>
      <c r="D22" s="93" t="s">
        <v>19</v>
      </c>
      <c r="E22" s="93" t="s">
        <v>39</v>
      </c>
      <c r="F22" s="93" t="s">
        <v>8</v>
      </c>
      <c r="I22" s="8"/>
      <c r="J22" s="7"/>
      <c r="K22" s="47"/>
      <c r="L22" s="7"/>
    </row>
    <row r="23" spans="2:17" x14ac:dyDescent="0.2">
      <c r="B23" s="7"/>
      <c r="C23" s="7"/>
      <c r="D23" s="11"/>
      <c r="E23" s="7"/>
      <c r="F23" s="9">
        <f t="shared" ref="F23:F34" si="0">IF(E23=TRUE(),D23,0)</f>
        <v>0</v>
      </c>
      <c r="I23" s="8"/>
      <c r="J23" s="7"/>
      <c r="K23" s="47"/>
      <c r="L23" s="7"/>
    </row>
    <row r="24" spans="2:17" x14ac:dyDescent="0.2">
      <c r="B24" s="7"/>
      <c r="C24" s="7"/>
      <c r="D24" s="11"/>
      <c r="E24" s="7"/>
      <c r="F24" s="9">
        <f t="shared" si="0"/>
        <v>0</v>
      </c>
      <c r="I24" s="8"/>
      <c r="J24" s="7"/>
      <c r="K24" s="47"/>
      <c r="L24" s="7"/>
    </row>
    <row r="25" spans="2:17" x14ac:dyDescent="0.2">
      <c r="B25" s="7"/>
      <c r="C25" s="7"/>
      <c r="D25" s="11"/>
      <c r="E25" s="7"/>
      <c r="F25" s="9">
        <f t="shared" si="0"/>
        <v>0</v>
      </c>
      <c r="I25" s="8"/>
      <c r="J25" s="7"/>
      <c r="K25" s="47"/>
      <c r="L25" s="7"/>
    </row>
    <row r="26" spans="2:17" x14ac:dyDescent="0.2">
      <c r="B26" s="7"/>
      <c r="C26" s="7"/>
      <c r="D26" s="11"/>
      <c r="E26" s="7"/>
      <c r="F26" s="9">
        <f t="shared" si="0"/>
        <v>0</v>
      </c>
      <c r="I26" s="8"/>
      <c r="J26" s="7"/>
      <c r="K26" s="47"/>
      <c r="L26" s="7"/>
    </row>
    <row r="27" spans="2:17" x14ac:dyDescent="0.2">
      <c r="B27" s="7"/>
      <c r="C27" s="7"/>
      <c r="D27" s="11"/>
      <c r="E27" s="7"/>
      <c r="F27" s="9">
        <f t="shared" si="0"/>
        <v>0</v>
      </c>
      <c r="I27" s="8"/>
      <c r="J27" s="7"/>
      <c r="K27" s="47"/>
      <c r="L27" s="7"/>
    </row>
    <row r="28" spans="2:17" x14ac:dyDescent="0.2">
      <c r="B28" s="7"/>
      <c r="C28" s="7"/>
      <c r="D28" s="11"/>
      <c r="E28" s="7"/>
      <c r="F28" s="9">
        <f t="shared" si="0"/>
        <v>0</v>
      </c>
      <c r="I28" s="8"/>
      <c r="J28" s="7"/>
      <c r="K28" s="47"/>
      <c r="L28" s="7"/>
      <c r="Q28" s="12"/>
    </row>
    <row r="29" spans="2:17" x14ac:dyDescent="0.2">
      <c r="B29" s="7"/>
      <c r="C29" s="7"/>
      <c r="D29" s="11"/>
      <c r="E29" s="7"/>
      <c r="F29" s="9">
        <f t="shared" si="0"/>
        <v>0</v>
      </c>
      <c r="I29" s="8"/>
      <c r="J29" s="7"/>
      <c r="K29" s="47"/>
      <c r="L29" s="7"/>
      <c r="Q29" s="12"/>
    </row>
    <row r="30" spans="2:17" x14ac:dyDescent="0.2">
      <c r="B30" s="7"/>
      <c r="C30" s="7"/>
      <c r="D30" s="11"/>
      <c r="E30" s="7"/>
      <c r="F30" s="9">
        <f t="shared" si="0"/>
        <v>0</v>
      </c>
      <c r="I30" s="8"/>
      <c r="J30" s="7"/>
      <c r="K30" s="47"/>
      <c r="L30" s="7"/>
      <c r="Q30" s="12"/>
    </row>
    <row r="31" spans="2:17" x14ac:dyDescent="0.2">
      <c r="B31" s="7"/>
      <c r="C31" s="7"/>
      <c r="D31" s="11"/>
      <c r="E31" s="7"/>
      <c r="F31" s="9">
        <f t="shared" si="0"/>
        <v>0</v>
      </c>
      <c r="I31" s="8"/>
      <c r="J31" s="7"/>
      <c r="K31" s="47"/>
      <c r="L31" s="7"/>
      <c r="Q31" s="12"/>
    </row>
    <row r="32" spans="2:17" x14ac:dyDescent="0.2">
      <c r="B32" s="7"/>
      <c r="C32" s="7"/>
      <c r="D32" s="11"/>
      <c r="E32" s="7"/>
      <c r="F32" s="9">
        <f t="shared" si="0"/>
        <v>0</v>
      </c>
      <c r="I32" s="8"/>
      <c r="J32" s="7"/>
      <c r="K32" s="47"/>
      <c r="L32" s="7"/>
      <c r="Q32" s="12"/>
    </row>
    <row r="33" spans="2:17" x14ac:dyDescent="0.2">
      <c r="B33" s="7"/>
      <c r="C33" s="7"/>
      <c r="D33" s="11"/>
      <c r="E33" s="7"/>
      <c r="F33" s="9">
        <f t="shared" si="0"/>
        <v>0</v>
      </c>
      <c r="I33" s="8"/>
      <c r="J33" s="7"/>
      <c r="K33" s="47"/>
      <c r="L33" s="7"/>
      <c r="Q33" s="12"/>
    </row>
    <row r="34" spans="2:17" x14ac:dyDescent="0.2">
      <c r="B34" s="7"/>
      <c r="C34" s="7"/>
      <c r="D34" s="11"/>
      <c r="E34" s="7"/>
      <c r="F34" s="9">
        <f t="shared" si="0"/>
        <v>0</v>
      </c>
      <c r="I34" s="8"/>
      <c r="J34" s="7"/>
      <c r="K34" s="47"/>
      <c r="L34" s="7"/>
      <c r="Q34" s="12"/>
    </row>
    <row r="35" spans="2:17" x14ac:dyDescent="0.2">
      <c r="I35" s="8"/>
      <c r="J35" s="7"/>
      <c r="K35" s="47"/>
      <c r="L35" s="7"/>
    </row>
    <row r="36" spans="2:17" x14ac:dyDescent="0.2">
      <c r="I36" s="8"/>
      <c r="J36" s="7"/>
      <c r="K36" s="47"/>
      <c r="L36" s="7"/>
    </row>
    <row r="37" spans="2:17" x14ac:dyDescent="0.2">
      <c r="I37" s="8"/>
      <c r="J37" s="7"/>
      <c r="K37" s="47"/>
      <c r="L37" s="7"/>
    </row>
    <row r="38" spans="2:17" x14ac:dyDescent="0.2">
      <c r="I38" s="8"/>
      <c r="J38" s="7"/>
      <c r="K38" s="47"/>
      <c r="L38" s="7"/>
    </row>
    <row r="39" spans="2:17" x14ac:dyDescent="0.2">
      <c r="I39" s="8"/>
      <c r="J39" s="7"/>
      <c r="K39" s="47"/>
      <c r="L39" s="7"/>
    </row>
    <row r="40" spans="2:17" x14ac:dyDescent="0.2">
      <c r="I40" s="8"/>
      <c r="J40" s="7"/>
      <c r="K40" s="47"/>
      <c r="L40" s="7"/>
    </row>
    <row r="41" spans="2:17" x14ac:dyDescent="0.2">
      <c r="I41" s="8"/>
      <c r="J41" s="7"/>
      <c r="K41" s="47"/>
      <c r="L41" s="7"/>
    </row>
    <row r="42" spans="2:17" x14ac:dyDescent="0.2">
      <c r="I42" s="8"/>
      <c r="J42" s="7"/>
      <c r="K42" s="47"/>
      <c r="L42" s="7"/>
    </row>
    <row r="43" spans="2:17" x14ac:dyDescent="0.2">
      <c r="I43" s="8"/>
      <c r="J43" s="7"/>
      <c r="K43" s="47"/>
      <c r="L43" s="7"/>
    </row>
    <row r="44" spans="2:17" x14ac:dyDescent="0.2">
      <c r="I44" s="8"/>
      <c r="J44" s="7"/>
      <c r="K44" s="47"/>
      <c r="L44" s="7"/>
    </row>
    <row r="45" spans="2:17" x14ac:dyDescent="0.2">
      <c r="I45" s="8"/>
      <c r="J45" s="7"/>
      <c r="K45" s="47"/>
      <c r="L45" s="7"/>
    </row>
    <row r="46" spans="2:17" x14ac:dyDescent="0.2">
      <c r="I46" s="8"/>
      <c r="J46" s="7"/>
      <c r="K46" s="47"/>
      <c r="L46" s="7"/>
    </row>
    <row r="47" spans="2:17" x14ac:dyDescent="0.2">
      <c r="I47" s="8"/>
      <c r="J47" s="7"/>
      <c r="K47" s="47"/>
      <c r="L47" s="7"/>
    </row>
    <row r="48" spans="2:17" x14ac:dyDescent="0.2">
      <c r="I48" s="8"/>
      <c r="J48" s="7"/>
      <c r="K48" s="47"/>
      <c r="L48" s="7"/>
    </row>
    <row r="49" spans="9:12" x14ac:dyDescent="0.2">
      <c r="I49" s="8"/>
      <c r="J49" s="7"/>
      <c r="K49" s="47"/>
      <c r="L49" s="7"/>
    </row>
    <row r="50" spans="9:12" x14ac:dyDescent="0.2">
      <c r="I50" s="8"/>
      <c r="J50" s="7"/>
      <c r="K50" s="47"/>
      <c r="L50" s="7"/>
    </row>
    <row r="51" spans="9:12" x14ac:dyDescent="0.2">
      <c r="I51" s="8"/>
      <c r="J51" s="7"/>
      <c r="K51" s="47"/>
      <c r="L51" s="7"/>
    </row>
    <row r="52" spans="9:12" x14ac:dyDescent="0.2">
      <c r="I52" s="8"/>
      <c r="J52" s="7"/>
      <c r="K52" s="47"/>
      <c r="L52" s="7"/>
    </row>
    <row r="53" spans="9:12" x14ac:dyDescent="0.2">
      <c r="I53" s="8"/>
      <c r="J53" s="7"/>
      <c r="K53" s="47"/>
      <c r="L53" s="7"/>
    </row>
    <row r="54" spans="9:12" x14ac:dyDescent="0.2">
      <c r="I54" s="8"/>
      <c r="J54" s="7"/>
      <c r="K54" s="47"/>
      <c r="L54" s="7"/>
    </row>
    <row r="55" spans="9:12" x14ac:dyDescent="0.2">
      <c r="I55" s="8"/>
      <c r="J55" s="7"/>
      <c r="K55" s="47"/>
      <c r="L55" s="7"/>
    </row>
    <row r="56" spans="9:12" x14ac:dyDescent="0.2">
      <c r="I56" s="8"/>
      <c r="J56" s="7"/>
      <c r="K56" s="47"/>
      <c r="L56" s="7"/>
    </row>
    <row r="57" spans="9:12" x14ac:dyDescent="0.2">
      <c r="I57" s="8"/>
      <c r="J57" s="7"/>
      <c r="K57" s="47"/>
      <c r="L57" s="7"/>
    </row>
    <row r="58" spans="9:12" x14ac:dyDescent="0.2">
      <c r="I58" s="8"/>
      <c r="J58" s="7"/>
      <c r="K58" s="47"/>
      <c r="L58" s="7"/>
    </row>
    <row r="59" spans="9:12" x14ac:dyDescent="0.2">
      <c r="I59" s="8"/>
      <c r="J59" s="7"/>
      <c r="K59" s="47"/>
      <c r="L59" s="7"/>
    </row>
    <row r="60" spans="9:12" x14ac:dyDescent="0.2">
      <c r="I60" s="8"/>
      <c r="J60" s="7"/>
      <c r="K60" s="47"/>
      <c r="L60" s="7"/>
    </row>
    <row r="61" spans="9:12" x14ac:dyDescent="0.2">
      <c r="I61" s="8"/>
      <c r="J61" s="7"/>
      <c r="K61" s="47"/>
      <c r="L61" s="7"/>
    </row>
    <row r="62" spans="9:12" x14ac:dyDescent="0.2">
      <c r="I62" s="8"/>
      <c r="J62" s="7"/>
      <c r="K62" s="47"/>
      <c r="L62" s="7"/>
    </row>
    <row r="63" spans="9:12" x14ac:dyDescent="0.2">
      <c r="I63" s="8"/>
      <c r="J63" s="7"/>
      <c r="K63" s="47"/>
      <c r="L63" s="7"/>
    </row>
    <row r="64" spans="9:12" x14ac:dyDescent="0.2">
      <c r="I64" s="8"/>
      <c r="J64" s="7"/>
      <c r="K64" s="47"/>
      <c r="L64" s="7"/>
    </row>
    <row r="65" spans="9:12" x14ac:dyDescent="0.2">
      <c r="I65" s="8"/>
      <c r="J65" s="7"/>
      <c r="K65" s="47"/>
      <c r="L65" s="7"/>
    </row>
    <row r="66" spans="9:12" x14ac:dyDescent="0.2">
      <c r="I66" s="8"/>
      <c r="J66" s="7"/>
      <c r="K66" s="47"/>
      <c r="L66" s="7"/>
    </row>
    <row r="67" spans="9:12" x14ac:dyDescent="0.2">
      <c r="I67" s="8"/>
      <c r="J67" s="7"/>
      <c r="K67" s="47"/>
      <c r="L67" s="7"/>
    </row>
    <row r="68" spans="9:12" x14ac:dyDescent="0.2">
      <c r="I68" s="8"/>
      <c r="J68" s="7"/>
      <c r="K68" s="47"/>
      <c r="L68" s="7"/>
    </row>
    <row r="69" spans="9:12" x14ac:dyDescent="0.2">
      <c r="I69" s="8"/>
      <c r="J69" s="7"/>
      <c r="K69" s="47"/>
      <c r="L69" s="7"/>
    </row>
    <row r="70" spans="9:12" x14ac:dyDescent="0.2">
      <c r="I70" s="8"/>
      <c r="J70" s="7"/>
      <c r="K70" s="47"/>
      <c r="L70" s="7"/>
    </row>
    <row r="71" spans="9:12" x14ac:dyDescent="0.2">
      <c r="I71" s="8"/>
      <c r="J71" s="7"/>
      <c r="K71" s="47"/>
      <c r="L71" s="7"/>
    </row>
    <row r="72" spans="9:12" x14ac:dyDescent="0.2">
      <c r="I72" s="8"/>
      <c r="J72" s="7"/>
      <c r="K72" s="47"/>
      <c r="L72" s="7"/>
    </row>
  </sheetData>
  <mergeCells count="19">
    <mergeCell ref="B12:C12"/>
    <mergeCell ref="E12:F12"/>
    <mergeCell ref="I12:L12"/>
    <mergeCell ref="N12:O12"/>
    <mergeCell ref="B21:F21"/>
    <mergeCell ref="B6:C6"/>
    <mergeCell ref="D6:E6"/>
    <mergeCell ref="F6:G6"/>
    <mergeCell ref="H6:I6"/>
    <mergeCell ref="J6:K6"/>
    <mergeCell ref="C8:F8"/>
    <mergeCell ref="B1:Q3"/>
    <mergeCell ref="R1:AG3"/>
    <mergeCell ref="B5:C5"/>
    <mergeCell ref="D5:E5"/>
    <mergeCell ref="F5:G5"/>
    <mergeCell ref="H5:I5"/>
    <mergeCell ref="J5:K5"/>
    <mergeCell ref="Q5:R5"/>
  </mergeCells>
  <dataValidations count="2">
    <dataValidation type="list" allowBlank="1" sqref="E23:E34" xr:uid="{D3D85FDA-EEDD-D94E-9AF1-BBFB90783E23}">
      <formula1>"TRUE,FALSE"</formula1>
      <formula2>0</formula2>
    </dataValidation>
    <dataValidation type="list" allowBlank="1" sqref="C23:C34 J14:J72" xr:uid="{0C398D33-744E-624E-B958-607100704A7A}">
      <formula1>"Subscriptions,Gas,Other,Groceries,Dining out,Rent,Shopping,Credit 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Spending Template</vt:lpstr>
      <vt:lpstr>Yearly Overview</vt:lpstr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Cesar</dc:creator>
  <dc:description/>
  <cp:lastModifiedBy>Sanchez, Cesar</cp:lastModifiedBy>
  <cp:revision>2</cp:revision>
  <dcterms:created xsi:type="dcterms:W3CDTF">2025-08-07T19:27:52Z</dcterms:created>
  <dcterms:modified xsi:type="dcterms:W3CDTF">2026-07-14T21:11:06Z</dcterms:modified>
  <dc:language>en-US</dc:language>
</cp:coreProperties>
</file>