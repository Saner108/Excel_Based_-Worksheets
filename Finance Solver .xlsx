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sanchez/Desktop/School/Excel/"/>
    </mc:Choice>
  </mc:AlternateContent>
  <xr:revisionPtr revIDLastSave="0" documentId="13_ncr:1_{46A69E37-BB78-3F4F-998E-A09FDF0BF0A1}" xr6:coauthVersionLast="47" xr6:coauthVersionMax="47" xr10:uidLastSave="{00000000-0000-0000-0000-000000000000}"/>
  <bookViews>
    <workbookView xWindow="0" yWindow="0" windowWidth="28800" windowHeight="18000" xr2:uid="{D6DE2C62-8A60-974E-BDB8-7C1EE12634B9}"/>
  </bookViews>
  <sheets>
    <sheet name="Financial Solver" sheetId="1" r:id="rId1"/>
  </sheets>
  <definedNames>
    <definedName name="CostCapitial">'Financial Solver'!$D$5</definedName>
    <definedName name="solver_adj" localSheetId="0" hidden="1">'Financial Solver'!$D$2:$D$5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'Financial Solver'!$D$5</definedName>
    <definedName name="solver_lhs2" localSheetId="0" hidden="1">'Financial Solver'!$D$3</definedName>
    <definedName name="solver_lhs3" localSheetId="0" hidden="1">'Financial Solver'!$D$3</definedName>
    <definedName name="solver_lhs4" localSheetId="0" hidden="1">'Financial Solver'!$D$2</definedName>
    <definedName name="solver_lhs5" localSheetId="0" hidden="1">'Financial Solver'!$D$4</definedName>
    <definedName name="solver_lhs6" localSheetId="0" hidden="1">'Financial Solver'!$D$4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opt" localSheetId="0" hidden="1">'Financial Solver'!$J$16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hs1" localSheetId="0" hidden="1">0.04</definedName>
    <definedName name="solver_rhs2" localSheetId="0" hidden="1">13</definedName>
    <definedName name="solver_rhs3" localSheetId="0" hidden="1">1</definedName>
    <definedName name="solver_rhs4" localSheetId="0" hidden="1">100</definedName>
    <definedName name="solver_rhs5" localSheetId="0" hidden="1">13</definedName>
    <definedName name="solver_rhs6" localSheetId="0" hidden="1">0.1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100000</definedName>
    <definedName name="solver_ver" localSheetId="0" hidden="1">2</definedName>
    <definedName name="SPU">'Financial Solver'!$D$3</definedName>
    <definedName name="Units">'Financial Solver'!$D$2</definedName>
    <definedName name="VC">'Financial Solver'!$D$4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I13" i="1"/>
  <c r="L13" i="1" s="1"/>
  <c r="K12" i="1"/>
  <c r="L12" i="1" s="1"/>
  <c r="M12" i="1" s="1"/>
  <c r="N12" i="1" s="1"/>
  <c r="K4" i="1"/>
  <c r="L4" i="1"/>
  <c r="M4" i="1"/>
  <c r="N4" i="1"/>
  <c r="J4" i="1"/>
  <c r="K3" i="1"/>
  <c r="L3" i="1"/>
  <c r="M3" i="1"/>
  <c r="N3" i="1"/>
  <c r="J3" i="1"/>
  <c r="K2" i="1"/>
  <c r="L2" i="1"/>
  <c r="M2" i="1"/>
  <c r="N2" i="1"/>
  <c r="J2" i="1"/>
  <c r="I19" i="1" l="1"/>
  <c r="I20" i="1"/>
  <c r="M9" i="1"/>
  <c r="N10" i="1"/>
  <c r="M10" i="1"/>
  <c r="J10" i="1"/>
  <c r="K9" i="1"/>
  <c r="L10" i="1"/>
  <c r="K10" i="1"/>
  <c r="J13" i="1"/>
  <c r="N9" i="1"/>
  <c r="K13" i="1"/>
  <c r="J9" i="1"/>
  <c r="L9" i="1"/>
  <c r="I21" i="1" l="1"/>
  <c r="L19" i="1"/>
  <c r="M11" i="1"/>
  <c r="N11" i="1"/>
  <c r="J11" i="1"/>
  <c r="J14" i="1" s="1"/>
  <c r="K11" i="1"/>
  <c r="K14" i="1" s="1"/>
  <c r="K15" i="1" s="1"/>
  <c r="K16" i="1" s="1"/>
  <c r="L11" i="1"/>
  <c r="L14" i="1" s="1"/>
  <c r="J15" i="1" l="1"/>
  <c r="J18" i="1" s="1"/>
  <c r="J21" i="1" s="1"/>
  <c r="K18" i="1"/>
  <c r="K21" i="1" s="1"/>
  <c r="L15" i="1"/>
  <c r="L16" i="1" s="1"/>
  <c r="J16" i="1" l="1"/>
  <c r="L18" i="1"/>
  <c r="L21" i="1" s="1"/>
  <c r="I24" i="1" l="1"/>
  <c r="I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tc={FC8104C6-7838-2E46-8581-9B8FB4B614B6}</author>
  </authors>
  <commentList>
    <comment ref="D3" authorId="0" shapeId="0" xr:uid="{FC8104C6-7838-2E46-8581-9B8FB4B614B6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Sales Price per Unit</t>
      </text>
    </comment>
  </commentList>
</comments>
</file>

<file path=xl/sharedStrings.xml><?xml version="1.0" encoding="utf-8"?>
<sst xmlns="http://schemas.openxmlformats.org/spreadsheetml/2006/main" count="35" uniqueCount="35">
  <si>
    <t>Units</t>
  </si>
  <si>
    <t>Sales Price per Unit</t>
  </si>
  <si>
    <t>Variable Costs</t>
  </si>
  <si>
    <t xml:space="preserve">Cost of Capital </t>
  </si>
  <si>
    <t xml:space="preserve">Initial Cost </t>
  </si>
  <si>
    <t>Sales / Revenue</t>
  </si>
  <si>
    <t>= Gross Profit</t>
  </si>
  <si>
    <t>- Expenses (Variable Costs)</t>
  </si>
  <si>
    <t>-Fixed Cost</t>
  </si>
  <si>
    <t>-Depreciation</t>
  </si>
  <si>
    <t>-Taxes</t>
  </si>
  <si>
    <t>=Net Income</t>
  </si>
  <si>
    <t xml:space="preserve">Year 0 </t>
  </si>
  <si>
    <t>Year 1</t>
  </si>
  <si>
    <t>Year 2</t>
  </si>
  <si>
    <t>Year 3</t>
  </si>
  <si>
    <t>Year 4</t>
  </si>
  <si>
    <t>Year 5</t>
  </si>
  <si>
    <t>=Earnings before Interest 
and Taxes (EBIT)</t>
  </si>
  <si>
    <t xml:space="preserve">Deprecation </t>
  </si>
  <si>
    <t xml:space="preserve">Straight Line </t>
  </si>
  <si>
    <t xml:space="preserve">Taxes </t>
  </si>
  <si>
    <t xml:space="preserve">Corporations = </t>
  </si>
  <si>
    <t>Flat Rate</t>
  </si>
  <si>
    <t>People</t>
  </si>
  <si>
    <t>Progressive</t>
  </si>
  <si>
    <t>Cash Flow</t>
  </si>
  <si>
    <t>OCF--&gt; Operating Cash Flows</t>
  </si>
  <si>
    <t>Changes in NWC (Net Working Capital)</t>
  </si>
  <si>
    <t>Net Capital Spending</t>
  </si>
  <si>
    <t>CFFA (Cash Flow From Assits)</t>
  </si>
  <si>
    <t xml:space="preserve">IRR: </t>
  </si>
  <si>
    <t xml:space="preserve">Net Present Value: </t>
  </si>
  <si>
    <t xml:space="preserve">ROR: 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</si>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</sst>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quotePrefix="1"/>
    <xf numFmtId="0" fontId="0" fillId="0" borderId="0" xfId="0" quotePrefix="1" applyAlignment="1">
      <alignment wrapText="1"/>
    </xf>
    <xf numFmtId="43" fontId="0" fillId="2" borderId="5" xfId="1" applyFont="1" applyFill="1" applyBorder="1"/>
    <xf numFmtId="43" fontId="0" fillId="0" borderId="0" xfId="1" applyFont="1"/>
    <xf numFmtId="44" fontId="0" fillId="2" borderId="6" xfId="2" applyFont="1" applyFill="1" applyBorder="1"/>
    <xf numFmtId="44" fontId="0" fillId="2" borderId="7" xfId="2" applyFont="1" applyFill="1" applyBorder="1"/>
    <xf numFmtId="44" fontId="0" fillId="0" borderId="0" xfId="2" applyFont="1"/>
    <xf numFmtId="43" fontId="0" fillId="0" borderId="0" xfId="0" applyNumberFormat="1"/>
    <xf numFmtId="43" fontId="0" fillId="0" borderId="9" xfId="0" applyNumberFormat="1" applyBorder="1"/>
    <xf numFmtId="44" fontId="0" fillId="0" borderId="0" xfId="0" applyNumberFormat="1"/>
    <xf numFmtId="0" fontId="0" fillId="0" borderId="9" xfId="0" applyBorder="1"/>
    <xf numFmtId="9" fontId="0" fillId="0" borderId="0" xfId="3" applyFont="1"/>
    <xf numFmtId="0" fontId="0" fillId="0" borderId="10" xfId="0" applyBorder="1"/>
    <xf numFmtId="43" fontId="0" fillId="0" borderId="0" xfId="1" applyFont="1" applyBorder="1"/>
    <xf numFmtId="43" fontId="0" fillId="0" borderId="12" xfId="1" applyFont="1" applyBorder="1"/>
    <xf numFmtId="43" fontId="0" fillId="0" borderId="12" xfId="0" applyNumberFormat="1" applyBorder="1"/>
    <xf numFmtId="44" fontId="0" fillId="0" borderId="12" xfId="0" applyNumberFormat="1" applyBorder="1"/>
    <xf numFmtId="0" fontId="0" fillId="0" borderId="12" xfId="0" applyBorder="1"/>
    <xf numFmtId="44" fontId="0" fillId="0" borderId="10" xfId="0" applyNumberFormat="1" applyBorder="1"/>
    <xf numFmtId="43" fontId="0" fillId="0" borderId="13" xfId="1" applyFont="1" applyBorder="1"/>
    <xf numFmtId="43" fontId="0" fillId="0" borderId="13" xfId="0" applyNumberFormat="1" applyBorder="1"/>
    <xf numFmtId="44" fontId="0" fillId="0" borderId="13" xfId="0" applyNumberFormat="1" applyBorder="1"/>
    <xf numFmtId="0" fontId="0" fillId="0" borderId="13" xfId="0" applyBorder="1"/>
    <xf numFmtId="43" fontId="0" fillId="4" borderId="13" xfId="1" applyFont="1" applyFill="1" applyBorder="1"/>
    <xf numFmtId="43" fontId="0" fillId="4" borderId="12" xfId="1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0" fontId="0" fillId="2" borderId="6" xfId="3" applyNumberFormat="1" applyFont="1" applyFill="1" applyBorder="1"/>
    <xf numFmtId="44" fontId="0" fillId="2" borderId="6" xfId="2" applyFont="1" applyFill="1" applyBorder="1" applyAlignment="1">
      <alignment horizontal="center" vertical="center"/>
    </xf>
    <xf numFmtId="10" fontId="4" fillId="0" borderId="0" xfId="0" applyNumberFormat="1" applyFont="1"/>
    <xf numFmtId="0" fontId="0" fillId="0" borderId="8" xfId="0" applyBorder="1" applyAlignment="1">
      <alignment horizontal="center" vertical="center"/>
    </xf>
    <xf numFmtId="43" fontId="0" fillId="0" borderId="4" xfId="1" applyFont="1" applyBorder="1"/>
    <xf numFmtId="44" fontId="0" fillId="0" borderId="4" xfId="2" applyFont="1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quotePrefix="1" applyBorder="1"/>
    <xf numFmtId="0" fontId="0" fillId="0" borderId="11" xfId="0" applyBorder="1"/>
    <xf numFmtId="43" fontId="0" fillId="0" borderId="23" xfId="0" applyNumberFormat="1" applyBorder="1"/>
    <xf numFmtId="43" fontId="0" fillId="0" borderId="24" xfId="0" applyNumberFormat="1" applyBorder="1"/>
    <xf numFmtId="0" fontId="0" fillId="3" borderId="0" xfId="0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5" borderId="18" xfId="0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chez, Cesar" id="{25E174E1-FDE9-AE4F-8B38-5A33DB1CBAC2}" userId="S::csanchez65@islander.tamucc.edu::89dde645-7724-4d87-bef9-b4f7e67e402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10-30T14:25:07.06" personId="{25E174E1-FDE9-AE4F-8B38-5A33DB1CBAC2}" id="{FC8104C6-7838-2E46-8581-9B8FB4B614B6}">
    <text>Sales Price per Unit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6F29-6686-1148-B6AA-78081EB2EE81}">
  <dimension ref="B1:N25"/>
  <sheetViews>
    <sheetView tabSelected="1" zoomScale="86" zoomScaleNormal="120" workbookViewId="0">
      <selection activeCell="E10" sqref="E10"/>
    </sheetView>
  </sheetViews>
  <sheetFormatPr baseColWidth="10" defaultRowHeight="16" x14ac:dyDescent="0.2"/>
  <cols>
    <col min="3" max="3" width="16.83203125" bestFit="1" customWidth="1"/>
    <col min="4" max="4" width="14" bestFit="1" customWidth="1"/>
    <col min="5" max="5" width="14" customWidth="1"/>
    <col min="6" max="6" width="19.1640625" bestFit="1" customWidth="1"/>
    <col min="8" max="8" width="23.33203125" bestFit="1" customWidth="1"/>
    <col min="9" max="12" width="14.6640625" bestFit="1" customWidth="1"/>
    <col min="13" max="14" width="13.6640625" bestFit="1" customWidth="1"/>
  </cols>
  <sheetData>
    <row r="1" spans="2:14" ht="17" thickBot="1" x14ac:dyDescent="0.25"/>
    <row r="2" spans="2:14" x14ac:dyDescent="0.2">
      <c r="C2" s="1" t="s">
        <v>0</v>
      </c>
      <c r="D2" s="6">
        <v>199246.18</v>
      </c>
      <c r="J2" s="39">
        <f>+Units</f>
        <v>199246.18</v>
      </c>
      <c r="K2" s="39">
        <f>+Units</f>
        <v>199246.18</v>
      </c>
      <c r="L2" s="39">
        <f>+Units</f>
        <v>199246.18</v>
      </c>
      <c r="M2" s="7">
        <f>+Units</f>
        <v>199246.18</v>
      </c>
      <c r="N2" s="7">
        <f>+Units</f>
        <v>199246.18</v>
      </c>
    </row>
    <row r="3" spans="2:14" x14ac:dyDescent="0.2">
      <c r="C3" s="2" t="s">
        <v>1</v>
      </c>
      <c r="D3" s="8">
        <v>10.43</v>
      </c>
      <c r="J3" s="40">
        <f>+SPU</f>
        <v>10.43</v>
      </c>
      <c r="K3" s="40">
        <f>+SPU</f>
        <v>10.43</v>
      </c>
      <c r="L3" s="40">
        <f>+SPU</f>
        <v>10.43</v>
      </c>
      <c r="M3" s="10">
        <f>+SPU</f>
        <v>10.43</v>
      </c>
      <c r="N3" s="10">
        <f>+SPU</f>
        <v>10.43</v>
      </c>
    </row>
    <row r="4" spans="2:14" x14ac:dyDescent="0.2">
      <c r="C4" s="2" t="s">
        <v>2</v>
      </c>
      <c r="D4" s="36">
        <v>4.3499999999999996</v>
      </c>
      <c r="J4" s="39">
        <f>+VC</f>
        <v>4.3499999999999996</v>
      </c>
      <c r="K4" s="39">
        <f>+VC</f>
        <v>4.3499999999999996</v>
      </c>
      <c r="L4" s="39">
        <f>+VC</f>
        <v>4.3499999999999996</v>
      </c>
      <c r="M4" s="7">
        <f>+VC</f>
        <v>4.3499999999999996</v>
      </c>
      <c r="N4" s="7">
        <f>+VC</f>
        <v>4.3499999999999996</v>
      </c>
    </row>
    <row r="5" spans="2:14" x14ac:dyDescent="0.2">
      <c r="C5" s="2" t="s">
        <v>3</v>
      </c>
      <c r="D5" s="35">
        <v>15</v>
      </c>
    </row>
    <row r="6" spans="2:14" ht="17" thickBot="1" x14ac:dyDescent="0.25">
      <c r="C6" s="3" t="s">
        <v>4</v>
      </c>
      <c r="D6" s="9">
        <v>3413185.99</v>
      </c>
    </row>
    <row r="8" spans="2:14" ht="17" thickBot="1" x14ac:dyDescent="0.25">
      <c r="I8" s="41" t="s">
        <v>12</v>
      </c>
      <c r="J8" s="42" t="s">
        <v>13</v>
      </c>
      <c r="K8" s="42" t="s">
        <v>14</v>
      </c>
      <c r="L8" s="43" t="s">
        <v>15</v>
      </c>
      <c r="M8" s="38" t="s">
        <v>16</v>
      </c>
      <c r="N8" s="38" t="s">
        <v>17</v>
      </c>
    </row>
    <row r="9" spans="2:14" x14ac:dyDescent="0.2">
      <c r="H9" t="s">
        <v>5</v>
      </c>
      <c r="I9" s="16"/>
      <c r="J9" s="23">
        <f>J2*J3</f>
        <v>2078137.6573999999</v>
      </c>
      <c r="K9" s="23">
        <f t="shared" ref="K9:N9" si="0">K2*K3</f>
        <v>2078137.6573999999</v>
      </c>
      <c r="L9" s="18">
        <f t="shared" si="0"/>
        <v>2078137.6573999999</v>
      </c>
      <c r="M9" s="17">
        <f t="shared" si="0"/>
        <v>2078137.6573999999</v>
      </c>
      <c r="N9" s="17">
        <f t="shared" si="0"/>
        <v>2078137.6573999999</v>
      </c>
    </row>
    <row r="10" spans="2:14" x14ac:dyDescent="0.2">
      <c r="H10" s="4" t="s">
        <v>7</v>
      </c>
      <c r="I10" s="16"/>
      <c r="J10" s="24">
        <f>+J4*J2</f>
        <v>866720.88299999991</v>
      </c>
      <c r="K10" s="24">
        <f>+K4*K2</f>
        <v>866720.88299999991</v>
      </c>
      <c r="L10" s="19">
        <f>+L4*L2</f>
        <v>866720.88299999991</v>
      </c>
      <c r="M10" s="11">
        <f>+M4*M2</f>
        <v>866720.88299999991</v>
      </c>
      <c r="N10" s="11">
        <f>+N4*N2</f>
        <v>866720.88299999991</v>
      </c>
    </row>
    <row r="11" spans="2:14" ht="17" thickBot="1" x14ac:dyDescent="0.25">
      <c r="H11" s="44" t="s">
        <v>6</v>
      </c>
      <c r="I11" s="45"/>
      <c r="J11" s="46">
        <f>+J9-J10</f>
        <v>1211416.7744</v>
      </c>
      <c r="K11" s="46">
        <f>+K9-K10</f>
        <v>1211416.7744</v>
      </c>
      <c r="L11" s="47">
        <f>+L9-L10</f>
        <v>1211416.7744</v>
      </c>
      <c r="M11" s="12">
        <f>+M9-M10</f>
        <v>1211416.7744</v>
      </c>
      <c r="N11" s="12">
        <f>+N9-N10</f>
        <v>1211416.7744</v>
      </c>
    </row>
    <row r="12" spans="2:14" ht="17" thickTop="1" x14ac:dyDescent="0.2">
      <c r="H12" s="4" t="s">
        <v>8</v>
      </c>
      <c r="I12" s="16"/>
      <c r="J12" s="27">
        <v>265000</v>
      </c>
      <c r="K12" s="27">
        <f>+J12</f>
        <v>265000</v>
      </c>
      <c r="L12" s="28">
        <f t="shared" ref="L12:N12" si="1">+K12</f>
        <v>265000</v>
      </c>
      <c r="M12" s="17">
        <f t="shared" si="1"/>
        <v>265000</v>
      </c>
      <c r="N12" s="17">
        <f t="shared" si="1"/>
        <v>265000</v>
      </c>
    </row>
    <row r="13" spans="2:14" x14ac:dyDescent="0.2">
      <c r="F13" t="str">
        <f>+"Straight Line for "&amp;G13 &amp; "years"</f>
        <v>Straight Line for 3years</v>
      </c>
      <c r="G13">
        <v>3</v>
      </c>
      <c r="H13" s="4" t="s">
        <v>9</v>
      </c>
      <c r="I13" s="22">
        <f>+D6</f>
        <v>3413185.99</v>
      </c>
      <c r="J13" s="25">
        <f>I13/G13</f>
        <v>1137728.6633333333</v>
      </c>
      <c r="K13" s="25">
        <f>I13/G13</f>
        <v>1137728.6633333333</v>
      </c>
      <c r="L13" s="20">
        <f>I13/G13</f>
        <v>1137728.6633333333</v>
      </c>
    </row>
    <row r="14" spans="2:14" ht="35" thickBot="1" x14ac:dyDescent="0.25">
      <c r="B14" s="51" t="s">
        <v>34</v>
      </c>
      <c r="C14" s="51"/>
      <c r="D14" s="51"/>
      <c r="E14" s="49"/>
      <c r="H14" s="5" t="s">
        <v>18</v>
      </c>
      <c r="I14" s="45"/>
      <c r="J14" s="46">
        <f>+J11-J12-J13</f>
        <v>-191311.88893333334</v>
      </c>
      <c r="K14" s="46">
        <f>+K11-K12-K13</f>
        <v>-191311.88893333334</v>
      </c>
      <c r="L14" s="47">
        <f>+L11-L12-L13</f>
        <v>-191311.88893333334</v>
      </c>
      <c r="M14" s="12"/>
      <c r="N14" s="12"/>
    </row>
    <row r="15" spans="2:14" ht="17" thickTop="1" x14ac:dyDescent="0.2">
      <c r="B15" s="29" t="s">
        <v>19</v>
      </c>
      <c r="C15" s="30"/>
      <c r="D15" s="31"/>
      <c r="E15" s="50"/>
      <c r="G15" s="15">
        <v>0.21</v>
      </c>
      <c r="H15" s="4" t="s">
        <v>10</v>
      </c>
      <c r="I15" s="16"/>
      <c r="J15" s="26">
        <f>+IF(J14&gt;0,J14*$G$15,0)</f>
        <v>0</v>
      </c>
      <c r="K15" s="26">
        <f t="shared" ref="K15:L15" si="2">+IF(K14&gt;0,K14*$G$15,0)</f>
        <v>0</v>
      </c>
      <c r="L15" s="21">
        <f t="shared" si="2"/>
        <v>0</v>
      </c>
    </row>
    <row r="16" spans="2:14" ht="17" thickBot="1" x14ac:dyDescent="0.25">
      <c r="B16" s="16">
        <v>1</v>
      </c>
      <c r="C16" t="s">
        <v>20</v>
      </c>
      <c r="D16" s="21"/>
      <c r="E16" s="50"/>
      <c r="H16" s="4" t="s">
        <v>11</v>
      </c>
      <c r="I16" s="45"/>
      <c r="J16" s="46">
        <f>+J14-J15</f>
        <v>-191311.88893333334</v>
      </c>
      <c r="K16" s="46">
        <f t="shared" ref="K16:L16" si="3">+K14-K15</f>
        <v>-191311.88893333334</v>
      </c>
      <c r="L16" s="47">
        <f t="shared" si="3"/>
        <v>-191311.88893333334</v>
      </c>
      <c r="M16" s="14"/>
      <c r="N16" s="14"/>
    </row>
    <row r="17" spans="2:12" ht="17" thickTop="1" x14ac:dyDescent="0.2">
      <c r="B17" s="16">
        <v>2</v>
      </c>
      <c r="D17" s="21"/>
      <c r="E17" s="50"/>
      <c r="H17" s="48" t="s">
        <v>26</v>
      </c>
      <c r="I17" s="48"/>
      <c r="J17" s="48"/>
      <c r="K17" s="48"/>
      <c r="L17" s="48"/>
    </row>
    <row r="18" spans="2:12" x14ac:dyDescent="0.2">
      <c r="B18" s="16"/>
      <c r="D18" s="21"/>
      <c r="E18" s="50"/>
      <c r="H18" t="s">
        <v>27</v>
      </c>
      <c r="J18" s="13">
        <f>+J14+J13-J15</f>
        <v>946416.77439999999</v>
      </c>
      <c r="K18" s="13">
        <f>+K14+K13-K15</f>
        <v>946416.77439999999</v>
      </c>
      <c r="L18" s="13">
        <f>+L14+L13-L15</f>
        <v>946416.77439999999</v>
      </c>
    </row>
    <row r="19" spans="2:12" x14ac:dyDescent="0.2">
      <c r="B19" s="16"/>
      <c r="D19" s="21"/>
      <c r="E19" s="50"/>
      <c r="H19" t="s">
        <v>28</v>
      </c>
      <c r="I19" s="7">
        <f>+-(I13*0.1)</f>
        <v>-341318.59900000005</v>
      </c>
      <c r="L19" s="11">
        <f>+-I19</f>
        <v>341318.59900000005</v>
      </c>
    </row>
    <row r="20" spans="2:12" x14ac:dyDescent="0.2">
      <c r="B20" s="16" t="s">
        <v>21</v>
      </c>
      <c r="D20" s="21"/>
      <c r="E20" s="50"/>
      <c r="H20" t="s">
        <v>29</v>
      </c>
      <c r="I20" s="13">
        <f>+-I13</f>
        <v>-3413185.99</v>
      </c>
    </row>
    <row r="21" spans="2:12" x14ac:dyDescent="0.2">
      <c r="B21" s="16">
        <v>1</v>
      </c>
      <c r="C21" t="s">
        <v>22</v>
      </c>
      <c r="D21" s="21" t="s">
        <v>23</v>
      </c>
      <c r="E21" s="50"/>
      <c r="H21" t="s">
        <v>30</v>
      </c>
      <c r="I21" s="7">
        <f>+SUM(I18:I20)</f>
        <v>-3754504.5890000002</v>
      </c>
      <c r="J21" s="7">
        <f t="shared" ref="J21:L21" si="4">+SUM(J18:J20)</f>
        <v>946416.77439999999</v>
      </c>
      <c r="K21" s="7">
        <f t="shared" si="4"/>
        <v>946416.77439999999</v>
      </c>
      <c r="L21" s="7">
        <f t="shared" si="4"/>
        <v>1287735.3733999999</v>
      </c>
    </row>
    <row r="22" spans="2:12" x14ac:dyDescent="0.2">
      <c r="B22" s="32">
        <v>2</v>
      </c>
      <c r="C22" s="33" t="s">
        <v>24</v>
      </c>
      <c r="D22" s="34" t="s">
        <v>25</v>
      </c>
      <c r="E22" s="50"/>
    </row>
    <row r="23" spans="2:12" x14ac:dyDescent="0.2">
      <c r="H23" t="s">
        <v>32</v>
      </c>
      <c r="I23" s="11">
        <f>NPV(CostCapitial,J21:L21)+I21</f>
        <v>-3691342.2115561035</v>
      </c>
    </row>
    <row r="24" spans="2:12" x14ac:dyDescent="0.2">
      <c r="H24" t="s">
        <v>31</v>
      </c>
      <c r="I24" s="37">
        <f>+IRR(I21:L21)</f>
        <v>-7.4793380907687279E-2</v>
      </c>
    </row>
    <row r="25" spans="2:12" x14ac:dyDescent="0.2">
      <c r="H25" t="s">
        <v>33</v>
      </c>
    </row>
  </sheetData>
  <mergeCells count="2">
    <mergeCell ref="H17:L17"/>
    <mergeCell ref="B14:D14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Financial Solver</vt:lpstr>
      <vt:lpstr>CostCapitial</vt:lpstr>
      <vt:lpstr>SPU</vt:lpstr>
      <vt:lpstr>Units</vt:lpstr>
      <vt:lpstr>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Cesar</dc:creator>
  <cp:lastModifiedBy>Sanchez, Cesar</cp:lastModifiedBy>
  <dcterms:created xsi:type="dcterms:W3CDTF">2024-10-30T13:55:30Z</dcterms:created>
  <dcterms:modified xsi:type="dcterms:W3CDTF">2026-07-03T18:20:29Z</dcterms:modified>
</cp:coreProperties>
</file>