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hidePivotFieldList="1"/>
  <mc:AlternateContent xmlns:mc="http://schemas.openxmlformats.org/markup-compatibility/2006">
    <mc:Choice Requires="x15">
      <x15ac:absPath xmlns:x15ac="http://schemas.microsoft.com/office/spreadsheetml/2010/11/ac" url="/Users/cesarsanchez/Desktop/School/Excel/"/>
    </mc:Choice>
  </mc:AlternateContent>
  <xr:revisionPtr revIDLastSave="0" documentId="13_ncr:1_{16B4C7D8-2929-CD48-8834-EA2DAF838170}" xr6:coauthVersionLast="47" xr6:coauthVersionMax="47" xr10:uidLastSave="{00000000-0000-0000-0000-000000000000}"/>
  <bookViews>
    <workbookView xWindow="0" yWindow="0" windowWidth="28800" windowHeight="18000" activeTab="1" xr2:uid="{70E486EF-791A-0E4C-88CB-70A96980499B}"/>
  </bookViews>
  <sheets>
    <sheet name="Legend" sheetId="2" r:id="rId1"/>
    <sheet name="Inventory" sheetId="1" r:id="rId2"/>
  </sheets>
  <definedNames>
    <definedName name="Slicer___of_Items">#N/A</definedName>
    <definedName name="Slicer_Category">#N/A</definedName>
    <definedName name="Slicer_Condition">#N/A</definedName>
    <definedName name="Slicer_Condition1">#N/A</definedName>
    <definedName name="Slicer_Experation_Date">#N/A</definedName>
    <definedName name="Slicer_Variance">#N/A</definedName>
  </definedNames>
  <calcPr calcId="181029"/>
  <pivotCaches>
    <pivotCache cacheId="6"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81" i="1" l="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alcChain>
</file>

<file path=xl/sharedStrings.xml><?xml version="1.0" encoding="utf-8"?>
<sst xmlns="http://schemas.openxmlformats.org/spreadsheetml/2006/main" count="340" uniqueCount="85">
  <si>
    <t xml:space="preserve">Good </t>
  </si>
  <si>
    <t>N/A</t>
  </si>
  <si>
    <t>Clips</t>
  </si>
  <si>
    <t>Food Preparation Tools</t>
  </si>
  <si>
    <t>Spider Strainer</t>
  </si>
  <si>
    <t>Large</t>
  </si>
  <si>
    <t>Big Pasta Pot</t>
  </si>
  <si>
    <t>Cookware &amp; Bakeware</t>
  </si>
  <si>
    <t>Tongs</t>
  </si>
  <si>
    <t>Plastic Pitchers</t>
  </si>
  <si>
    <t>Pasta Machines</t>
  </si>
  <si>
    <t>Wide Glass Bowl</t>
  </si>
  <si>
    <t>Electric Kettle</t>
  </si>
  <si>
    <t>Blenders</t>
  </si>
  <si>
    <t>Wooden Spoons</t>
  </si>
  <si>
    <t>Small</t>
  </si>
  <si>
    <t>Cutting Knives (Yellow)</t>
  </si>
  <si>
    <t xml:space="preserve">Medium </t>
  </si>
  <si>
    <t>Cutting Knives (Green)</t>
  </si>
  <si>
    <t>Cutting Knives (Red)</t>
  </si>
  <si>
    <t>Spatulas</t>
  </si>
  <si>
    <t>Silicone Spatulas</t>
  </si>
  <si>
    <t>1 Cup Measuring Cups</t>
  </si>
  <si>
    <t>1/2 Cup Measuring Spoons</t>
  </si>
  <si>
    <t>1/3 Cup Measuring Spoons</t>
  </si>
  <si>
    <t>1/4 Cup Measuring Cups</t>
  </si>
  <si>
    <t>Mixing Bowls</t>
  </si>
  <si>
    <t>Rolling Pins</t>
  </si>
  <si>
    <t>Cutting Boards</t>
  </si>
  <si>
    <t>Pots</t>
  </si>
  <si>
    <t>Pans</t>
  </si>
  <si>
    <t>Burners</t>
  </si>
  <si>
    <t>Wire Racks</t>
  </si>
  <si>
    <t>Baking Sheets</t>
  </si>
  <si>
    <t>Plastic Serving Spoons</t>
  </si>
  <si>
    <t>Ladles</t>
  </si>
  <si>
    <t>Metal Serving Spoons</t>
  </si>
  <si>
    <t>Serving Spoons</t>
  </si>
  <si>
    <t>Whisks</t>
  </si>
  <si>
    <t>Strainers</t>
  </si>
  <si>
    <t>Thermometers</t>
  </si>
  <si>
    <t>Scoops</t>
  </si>
  <si>
    <t>Spoons</t>
  </si>
  <si>
    <t>Serving &amp; Miscellaneous</t>
  </si>
  <si>
    <t>Butter Knives</t>
  </si>
  <si>
    <t>Serrated Knives</t>
  </si>
  <si>
    <t>Forks</t>
  </si>
  <si>
    <t>Whiskey Cups</t>
  </si>
  <si>
    <t>Cocktail Shakers</t>
  </si>
  <si>
    <t>To-Go Containers</t>
  </si>
  <si>
    <t>Glass Sauce Bowls</t>
  </si>
  <si>
    <t xml:space="preserve">Replace </t>
  </si>
  <si>
    <t>Plates</t>
  </si>
  <si>
    <t xml:space="preserve">Condition </t>
  </si>
  <si>
    <t>Cups</t>
  </si>
  <si>
    <t>Bowls</t>
  </si>
  <si>
    <t>Parchment Paper</t>
  </si>
  <si>
    <t>Oven Mitts</t>
  </si>
  <si>
    <t>Sizes</t>
  </si>
  <si>
    <t>Cookie Cutters</t>
  </si>
  <si>
    <t>Tiny Travel Bags</t>
  </si>
  <si>
    <t>Warm Cooking Mats</t>
  </si>
  <si>
    <t>White Aprons</t>
  </si>
  <si>
    <t>Black Aprons</t>
  </si>
  <si>
    <t>Notes</t>
  </si>
  <si>
    <t>Condition</t>
  </si>
  <si>
    <t>Variance</t>
  </si>
  <si>
    <t>Current Qty</t>
  </si>
  <si>
    <t>Expected Qty</t>
  </si>
  <si>
    <t>Size</t>
  </si>
  <si>
    <t>Item</t>
  </si>
  <si>
    <t>Category</t>
  </si>
  <si>
    <t xml:space="preserve">Categories </t>
  </si>
  <si>
    <t>Key Legend</t>
  </si>
  <si>
    <t>GA currently has it</t>
  </si>
  <si>
    <t xml:space="preserve">Students took leftover home </t>
  </si>
  <si>
    <t xml:space="preserve">Done </t>
  </si>
  <si>
    <t>Row Labels</t>
  </si>
  <si>
    <t>Grand Total</t>
  </si>
  <si>
    <t>Sum of Current Qty</t>
  </si>
  <si>
    <t>Cooking Supplies Inventory</t>
  </si>
  <si>
    <t>Experation Date</t>
  </si>
  <si>
    <t xml:space="preserve">Item </t>
  </si>
  <si>
    <t xml:space="preserve"># of Items </t>
  </si>
  <si>
    <t xml:space="preserve">Food Inventory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</si>
</sst>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family val="2"/>
      <scheme val="minor"/>
    </font>
    <font>
      <b/>
      <sz val="12"/>
      <color theme="1"/>
      <name val="Arial"/>
      <family val="2"/>
      <scheme val="minor"/>
    </font>
    <font>
      <sz val="10"/>
      <color rgb="FF000000"/>
      <name val="Arial"/>
      <family val="2"/>
      <scheme val="minor"/>
    </font>
    <font>
      <b/>
      <sz val="10"/>
      <color rgb="FF000000"/>
      <name val="Arial"/>
      <family val="2"/>
      <scheme val="minor"/>
    </font>
    <font>
      <b/>
      <sz val="10"/>
      <color theme="0"/>
      <name val="Arial"/>
      <family val="2"/>
      <scheme val="minor"/>
    </font>
    <font>
      <u/>
      <sz val="10"/>
      <color rgb="FF000000"/>
      <name val="Arial"/>
      <family val="2"/>
      <scheme val="minor"/>
    </font>
    <font>
      <sz val="22"/>
      <color theme="0"/>
      <name val="Arial"/>
      <family val="2"/>
      <scheme val="minor"/>
    </font>
    <font>
      <sz val="22"/>
      <color theme="0"/>
      <name val="Arial"/>
      <family val="2"/>
      <scheme val="major"/>
    </font>
  </fonts>
  <fills count="6">
    <fill>
      <patternFill patternType="none"/>
    </fill>
    <fill>
      <patternFill patternType="gray125"/>
    </fill>
    <fill>
      <patternFill patternType="solid">
        <fgColor theme="2" tint="-0.14999847407452621"/>
        <bgColor indexed="64"/>
      </patternFill>
    </fill>
    <fill>
      <patternFill patternType="solid">
        <fgColor theme="2" tint="-0.34998626667073579"/>
        <bgColor indexed="64"/>
      </patternFill>
    </fill>
    <fill>
      <patternFill patternType="solid">
        <fgColor rgb="FF0070C0"/>
        <bgColor indexed="64"/>
      </patternFill>
    </fill>
    <fill>
      <patternFill patternType="solid">
        <fgColor theme="7"/>
        <bgColor indexed="64"/>
      </patternFill>
    </fill>
  </fills>
  <borders count="24">
    <border>
      <left/>
      <right/>
      <top/>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s>
  <cellStyleXfs count="1">
    <xf numFmtId="0" fontId="0" fillId="0" borderId="0"/>
  </cellStyleXfs>
  <cellXfs count="55">
    <xf numFmtId="0" fontId="0" fillId="0" borderId="0" xfId="0"/>
    <xf numFmtId="0" fontId="0" fillId="0" borderId="1" xfId="0" applyBorder="1"/>
    <xf numFmtId="0" fontId="0" fillId="0" borderId="2" xfId="0" applyBorder="1" applyAlignment="1">
      <alignment horizontal="center" vertical="center"/>
    </xf>
    <xf numFmtId="0" fontId="2" fillId="0" borderId="3" xfId="0" applyFont="1" applyBorder="1" applyAlignment="1">
      <alignment horizontal="center" vertical="center"/>
    </xf>
    <xf numFmtId="0" fontId="0" fillId="0" borderId="4" xfId="0" applyBorder="1"/>
    <xf numFmtId="0" fontId="0" fillId="0" borderId="5" xfId="0" applyBorder="1" applyAlignment="1">
      <alignment horizontal="center" vertical="center"/>
    </xf>
    <xf numFmtId="0" fontId="0" fillId="0" borderId="6" xfId="0" applyBorder="1" applyAlignment="1">
      <alignment horizont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0" fillId="0" borderId="8" xfId="0" applyBorder="1"/>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5" fillId="0" borderId="6" xfId="0" applyFont="1" applyBorder="1" applyAlignment="1">
      <alignment horizontal="center"/>
    </xf>
    <xf numFmtId="0" fontId="0" fillId="0" borderId="6" xfId="0"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3" fillId="2" borderId="7" xfId="0" applyFont="1" applyFill="1" applyBorder="1" applyAlignment="1">
      <alignment horizontal="center" vertical="center"/>
    </xf>
    <xf numFmtId="0" fontId="1" fillId="3" borderId="20" xfId="0" applyFont="1" applyFill="1" applyBorder="1" applyAlignment="1">
      <alignment horizontal="center" vertical="center"/>
    </xf>
    <xf numFmtId="0" fontId="0" fillId="0" borderId="21" xfId="0" applyBorder="1"/>
    <xf numFmtId="0" fontId="0" fillId="0" borderId="21" xfId="0" applyBorder="1" applyAlignment="1">
      <alignment horizontal="center"/>
    </xf>
    <xf numFmtId="0" fontId="0" fillId="0" borderId="21" xfId="0" applyBorder="1" applyAlignment="1">
      <alignment horizontal="center" vertical="center"/>
    </xf>
    <xf numFmtId="0" fontId="0" fillId="0" borderId="5" xfId="0" applyBorder="1" applyAlignment="1">
      <alignment horizontal="center"/>
    </xf>
    <xf numFmtId="0" fontId="4" fillId="0" borderId="2" xfId="0" applyFont="1" applyBorder="1" applyAlignment="1">
      <alignment horizontal="center" vertical="center"/>
    </xf>
    <xf numFmtId="0" fontId="7" fillId="4" borderId="12" xfId="0" applyFont="1" applyFill="1" applyBorder="1" applyAlignment="1">
      <alignment horizontal="center" vertical="center"/>
    </xf>
    <xf numFmtId="0" fontId="7" fillId="4" borderId="14"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0" xfId="0" applyFont="1" applyFill="1" applyBorder="1" applyAlignment="1">
      <alignment horizontal="center" vertical="center"/>
    </xf>
    <xf numFmtId="0" fontId="7" fillId="4" borderId="16"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8" xfId="0" applyFont="1" applyFill="1" applyBorder="1" applyAlignment="1">
      <alignment horizontal="center" vertical="center"/>
    </xf>
    <xf numFmtId="0" fontId="7" fillId="4" borderId="19" xfId="0" applyFont="1" applyFill="1" applyBorder="1" applyAlignment="1">
      <alignment horizontal="center" vertical="center"/>
    </xf>
    <xf numFmtId="0" fontId="0" fillId="0" borderId="0" xfId="0" applyBorder="1"/>
    <xf numFmtId="0" fontId="6" fillId="5" borderId="0" xfId="0" applyFont="1" applyFill="1" applyBorder="1" applyAlignment="1">
      <alignment horizontal="center" vertical="center"/>
    </xf>
    <xf numFmtId="0" fontId="0" fillId="0" borderId="7" xfId="0" applyBorder="1" applyAlignment="1">
      <alignment horizontal="center" vertical="center"/>
    </xf>
    <xf numFmtId="0" fontId="6" fillId="5" borderId="12"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17" xfId="0" applyFont="1" applyFill="1" applyBorder="1" applyAlignment="1">
      <alignment horizontal="center" vertical="center"/>
    </xf>
    <xf numFmtId="0" fontId="6" fillId="5" borderId="18" xfId="0" applyFont="1" applyFill="1" applyBorder="1" applyAlignment="1">
      <alignment horizontal="center" vertical="center"/>
    </xf>
    <xf numFmtId="0" fontId="6" fillId="5" borderId="19" xfId="0" applyFont="1" applyFill="1" applyBorder="1" applyAlignment="1">
      <alignment horizontal="center" vertical="center"/>
    </xf>
    <xf numFmtId="0" fontId="0" fillId="0" borderId="2" xfId="0" applyBorder="1"/>
    <xf numFmtId="0" fontId="4" fillId="0" borderId="19" xfId="0" applyFont="1" applyBorder="1" applyAlignment="1">
      <alignment horizontal="center" vertical="center"/>
    </xf>
    <xf numFmtId="0" fontId="0" fillId="0" borderId="23" xfId="0" applyBorder="1" applyAlignment="1">
      <alignment horizontal="center" vertical="center"/>
    </xf>
    <xf numFmtId="0" fontId="2" fillId="0" borderId="23" xfId="0" applyFont="1" applyBorder="1" applyAlignment="1">
      <alignment horizontal="center" vertical="center"/>
    </xf>
    <xf numFmtId="0" fontId="0" fillId="0" borderId="16" xfId="0" applyBorder="1" applyAlignment="1">
      <alignment horizontal="center" vertical="center"/>
    </xf>
    <xf numFmtId="0" fontId="2" fillId="0" borderId="22" xfId="0" applyFont="1" applyBorder="1" applyAlignment="1">
      <alignment horizontal="center" vertical="center"/>
    </xf>
    <xf numFmtId="0" fontId="2" fillId="0" borderId="21" xfId="0" applyFont="1" applyBorder="1" applyAlignment="1">
      <alignment horizontal="center" vertical="center"/>
    </xf>
    <xf numFmtId="0" fontId="0" fillId="0" borderId="22" xfId="0" applyBorder="1" applyAlignment="1">
      <alignment horizontal="center"/>
    </xf>
    <xf numFmtId="0" fontId="0" fillId="0" borderId="18" xfId="0" applyBorder="1" applyAlignment="1">
      <alignment horizontal="center" vertical="center"/>
    </xf>
  </cellXfs>
  <cellStyles count="1">
    <cellStyle name="Normal" xfId="0" builtinId="0"/>
  </cellStyles>
  <dxfs count="23">
    <dxf>
      <border diagonalUp="0" diagonalDown="0">
        <left style="medium">
          <color indexed="64"/>
        </left>
        <right style="medium">
          <color indexed="64"/>
        </right>
        <vertical/>
      </border>
    </dxf>
    <dxf>
      <border diagonalUp="0" diagonalDown="0">
        <left style="medium">
          <color indexed="64"/>
        </left>
        <right style="medium">
          <color indexed="64"/>
        </right>
        <vertical/>
      </border>
    </dxf>
    <dxf>
      <border diagonalUp="0" diagonalDown="0">
        <left style="medium">
          <color indexed="64"/>
        </left>
        <right/>
        <vertical/>
      </border>
    </dxf>
    <dxf>
      <border diagonalUp="0" diagonalDown="0">
        <left style="medium">
          <color indexed="64"/>
        </left>
        <right style="medium">
          <color indexed="64"/>
        </right>
        <vertical/>
      </border>
    </dxf>
    <dxf>
      <border diagonalUp="0" diagonalDown="0">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border>
        <bottom style="medium">
          <color indexed="64"/>
        </bottom>
      </border>
    </dxf>
    <dxf>
      <alignment horizontal="center" vertical="center" textRotation="0" wrapText="0" indent="0" justifyLastLine="0" shrinkToFit="0" readingOrder="0"/>
      <border diagonalUp="0" diagonalDown="0">
        <left/>
        <right/>
        <top/>
        <bottom/>
        <vertical/>
        <horizontal/>
      </border>
    </dxf>
    <dxf>
      <border diagonalUp="0" diagonalDown="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left style="medium">
          <color indexed="64"/>
        </left>
        <right style="medium">
          <color indexed="64"/>
        </right>
        <top style="thin">
          <color indexed="64"/>
        </top>
        <bottom style="thin">
          <color indexed="64"/>
        </bottom>
      </border>
      <protection locked="1" hidden="0"/>
    </dxf>
    <dxf>
      <alignment horizontal="center" vertical="bottom" textRotation="0" wrapText="0" indent="0" justifyLastLine="0" shrinkToFit="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horizontal style="thin">
          <color indexed="64"/>
        </horizontal>
      </border>
    </dxf>
    <dxf>
      <font>
        <b val="0"/>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border>
    </dxf>
    <dxf>
      <font>
        <b val="0"/>
        <i val="0"/>
        <strike val="0"/>
        <condense val="0"/>
        <extend val="0"/>
        <outline val="0"/>
        <shadow val="0"/>
        <u val="none"/>
        <vertAlign val="baseline"/>
        <sz val="10"/>
        <color rgb="FF000000"/>
        <name val="Arial"/>
        <family val="2"/>
        <scheme val="minor"/>
      </font>
      <alignment horizontal="center" vertical="center" textRotation="0" wrapText="0" indent="0" justifyLastLine="0" shrinkToFit="0" readingOrder="0"/>
      <border diagonalUp="0" diagonalDown="0">
        <left style="medium">
          <color indexed="64"/>
        </left>
        <right style="medium">
          <color indexed="64"/>
        </right>
        <top style="thin">
          <color indexed="64"/>
        </top>
        <bottom style="thin">
          <color indexed="64"/>
        </bottom>
        <vertical/>
      </border>
    </dxf>
    <dxf>
      <alignment horizontal="center" vertical="center" textRotation="0" wrapText="0" indent="0" justifyLastLine="0" shrinkToFit="0" readingOrder="0"/>
      <border diagonalUp="0" diagonalDown="0">
        <left/>
        <right style="medium">
          <color indexed="64"/>
        </right>
        <top/>
        <bottom style="thin">
          <color indexed="64"/>
        </bottom>
        <vertical/>
      </border>
    </dxf>
    <dxf>
      <border diagonalUp="0" diagonalDown="0">
        <left style="medium">
          <color indexed="64"/>
        </left>
        <right style="medium">
          <color indexed="64"/>
        </right>
        <top style="medium">
          <color indexed="64"/>
        </top>
        <bottom style="medium">
          <color indexed="64"/>
        </bottom>
      </border>
    </dxf>
    <dxf>
      <font>
        <color rgb="FF9C0006"/>
      </font>
      <fill>
        <patternFill>
          <bgColor rgb="FFFFC7CE"/>
        </patternFill>
      </fill>
    </dxf>
    <dxf>
      <font>
        <color rgb="FF9C5700"/>
      </font>
      <fill>
        <patternFill>
          <bgColor rgb="FFFFEB9C"/>
        </patternFill>
      </fill>
    </dxf>
    <dxf>
      <font>
        <b/>
        <i val="0"/>
        <color theme="0"/>
      </font>
      <fill>
        <patternFill>
          <bgColor rgb="FFC00000"/>
        </patternFill>
      </fill>
    </dxf>
    <dxf>
      <border>
        <bottom style="medium">
          <color indexed="64"/>
        </bottom>
      </border>
    </dxf>
    <dxf>
      <border>
        <top style="thin">
          <color indexed="64"/>
        </top>
      </border>
    </dxf>
    <dxf>
      <font>
        <b/>
        <i val="0"/>
        <strike val="0"/>
        <condense val="0"/>
        <extend val="0"/>
        <outline val="0"/>
        <shadow val="0"/>
        <u val="none"/>
        <vertAlign val="baseline"/>
        <sz val="10"/>
        <color theme="0"/>
        <name val="Arial"/>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drawings/drawing1.xml><?xml version="1.0" encoding="utf-8"?>
<xdr:wsDr xmlns:xdr="http://schemas.openxmlformats.org/drawingml/2006/spreadsheetDrawing" xmlns:a="http://schemas.openxmlformats.org/drawingml/2006/main">
  <xdr:twoCellAnchor editAs="oneCell">
    <xdr:from>
      <xdr:col>0</xdr:col>
      <xdr:colOff>769992</xdr:colOff>
      <xdr:row>21</xdr:row>
      <xdr:rowOff>106471</xdr:rowOff>
    </xdr:from>
    <xdr:to>
      <xdr:col>1</xdr:col>
      <xdr:colOff>1681460</xdr:colOff>
      <xdr:row>28</xdr:row>
      <xdr:rowOff>40367</xdr:rowOff>
    </xdr:to>
    <mc:AlternateContent xmlns:mc="http://schemas.openxmlformats.org/markup-compatibility/2006">
      <mc:Choice xmlns:sle15="http://schemas.microsoft.com/office/drawing/2012/slicer" Requires="sle15">
        <xdr:graphicFrame macro="">
          <xdr:nvGraphicFramePr>
            <xdr:cNvPr id="2" name="Category">
              <a:extLst>
                <a:ext uri="{FF2B5EF4-FFF2-40B4-BE49-F238E27FC236}">
                  <a16:creationId xmlns:a16="http://schemas.microsoft.com/office/drawing/2014/main" id="{D9DCDE03-ABC1-80B6-EC54-DC7FF115DAE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9992" y="3671383"/>
              <a:ext cx="1735854" cy="102565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1057</xdr:colOff>
      <xdr:row>31</xdr:row>
      <xdr:rowOff>10111</xdr:rowOff>
    </xdr:from>
    <xdr:to>
      <xdr:col>2</xdr:col>
      <xdr:colOff>1155</xdr:colOff>
      <xdr:row>44</xdr:row>
      <xdr:rowOff>106703</xdr:rowOff>
    </xdr:to>
    <mc:AlternateContent xmlns:mc="http://schemas.openxmlformats.org/markup-compatibility/2006">
      <mc:Choice xmlns:sle15="http://schemas.microsoft.com/office/drawing/2012/slicer" Requires="sle15">
        <xdr:graphicFrame macro="">
          <xdr:nvGraphicFramePr>
            <xdr:cNvPr id="4" name="Variance ">
              <a:extLst>
                <a:ext uri="{FF2B5EF4-FFF2-40B4-BE49-F238E27FC236}">
                  <a16:creationId xmlns:a16="http://schemas.microsoft.com/office/drawing/2014/main" id="{8429B96F-8DB0-B494-9DD0-CEAD3718B24C}"/>
                </a:ext>
              </a:extLst>
            </xdr:cNvPr>
            <xdr:cNvGraphicFramePr/>
          </xdr:nvGraphicFramePr>
          <xdr:xfrm>
            <a:off x="0" y="0"/>
            <a:ext cx="0" cy="0"/>
          </xdr:xfrm>
          <a:graphic>
            <a:graphicData uri="http://schemas.microsoft.com/office/drawing/2010/slicer">
              <sle:slicer xmlns:sle="http://schemas.microsoft.com/office/drawing/2010/slicer" name="Variance "/>
            </a:graphicData>
          </a:graphic>
        </xdr:graphicFrame>
      </mc:Choice>
      <mc:Fallback>
        <xdr:sp macro="" textlink="">
          <xdr:nvSpPr>
            <xdr:cNvPr id="0" name=""/>
            <xdr:cNvSpPr>
              <a:spLocks noTextEdit="1"/>
            </xdr:cNvSpPr>
          </xdr:nvSpPr>
          <xdr:spPr>
            <a:xfrm>
              <a:off x="825443" y="5134672"/>
              <a:ext cx="1849396" cy="212413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9077</xdr:colOff>
      <xdr:row>47</xdr:row>
      <xdr:rowOff>7048</xdr:rowOff>
    </xdr:from>
    <xdr:to>
      <xdr:col>2</xdr:col>
      <xdr:colOff>1891</xdr:colOff>
      <xdr:row>54</xdr:row>
      <xdr:rowOff>57000</xdr:rowOff>
    </xdr:to>
    <mc:AlternateContent xmlns:mc="http://schemas.openxmlformats.org/markup-compatibility/2006">
      <mc:Choice xmlns:sle15="http://schemas.microsoft.com/office/drawing/2012/slicer" Requires="sle15">
        <xdr:graphicFrame macro="">
          <xdr:nvGraphicFramePr>
            <xdr:cNvPr id="5" name="Condition">
              <a:extLst>
                <a:ext uri="{FF2B5EF4-FFF2-40B4-BE49-F238E27FC236}">
                  <a16:creationId xmlns:a16="http://schemas.microsoft.com/office/drawing/2014/main" id="{FFD3BD13-44C9-C892-6163-0125EDF4B192}"/>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833463" y="7627048"/>
              <a:ext cx="1842112" cy="114170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1667</xdr:colOff>
      <xdr:row>92</xdr:row>
      <xdr:rowOff>18773</xdr:rowOff>
    </xdr:from>
    <xdr:to>
      <xdr:col>1</xdr:col>
      <xdr:colOff>1826592</xdr:colOff>
      <xdr:row>106</xdr:row>
      <xdr:rowOff>30047</xdr:rowOff>
    </xdr:to>
    <mc:AlternateContent xmlns:mc="http://schemas.openxmlformats.org/markup-compatibility/2006">
      <mc:Choice xmlns:sle15="http://schemas.microsoft.com/office/drawing/2012/slicer" Requires="sle15">
        <xdr:graphicFrame macro="">
          <xdr:nvGraphicFramePr>
            <xdr:cNvPr id="6" name="Experation Date">
              <a:extLst>
                <a:ext uri="{FF2B5EF4-FFF2-40B4-BE49-F238E27FC236}">
                  <a16:creationId xmlns:a16="http://schemas.microsoft.com/office/drawing/2014/main" id="{804E824B-3B42-B0EA-BBCE-18C2B96D0A96}"/>
                </a:ext>
              </a:extLst>
            </xdr:cNvPr>
            <xdr:cNvGraphicFramePr/>
          </xdr:nvGraphicFramePr>
          <xdr:xfrm>
            <a:off x="0" y="0"/>
            <a:ext cx="0" cy="0"/>
          </xdr:xfrm>
          <a:graphic>
            <a:graphicData uri="http://schemas.microsoft.com/office/drawing/2010/slicer">
              <sle:slicer xmlns:sle="http://schemas.microsoft.com/office/drawing/2010/slicer" name="Experation Date"/>
            </a:graphicData>
          </a:graphic>
        </xdr:graphicFrame>
      </mc:Choice>
      <mc:Fallback>
        <xdr:sp macro="" textlink="">
          <xdr:nvSpPr>
            <xdr:cNvPr id="0" name=""/>
            <xdr:cNvSpPr>
              <a:spLocks noTextEdit="1"/>
            </xdr:cNvSpPr>
          </xdr:nvSpPr>
          <xdr:spPr>
            <a:xfrm>
              <a:off x="826053" y="14701755"/>
              <a:ext cx="1824925" cy="212794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1841</xdr:colOff>
      <xdr:row>112</xdr:row>
      <xdr:rowOff>22822</xdr:rowOff>
    </xdr:from>
    <xdr:to>
      <xdr:col>1</xdr:col>
      <xdr:colOff>1830641</xdr:colOff>
      <xdr:row>125</xdr:row>
      <xdr:rowOff>107719</xdr:rowOff>
    </xdr:to>
    <mc:AlternateContent xmlns:mc="http://schemas.openxmlformats.org/markup-compatibility/2006">
      <mc:Choice xmlns:sle15="http://schemas.microsoft.com/office/drawing/2012/slicer" Requires="sle15">
        <xdr:graphicFrame macro="">
          <xdr:nvGraphicFramePr>
            <xdr:cNvPr id="7" name="Condition ">
              <a:extLst>
                <a:ext uri="{FF2B5EF4-FFF2-40B4-BE49-F238E27FC236}">
                  <a16:creationId xmlns:a16="http://schemas.microsoft.com/office/drawing/2014/main" id="{529CDDF0-7CB6-FAC7-0246-11CFC7F8C7FE}"/>
                </a:ext>
              </a:extLst>
            </xdr:cNvPr>
            <xdr:cNvGraphicFramePr/>
          </xdr:nvGraphicFramePr>
          <xdr:xfrm>
            <a:off x="0" y="0"/>
            <a:ext cx="0" cy="0"/>
          </xdr:xfrm>
          <a:graphic>
            <a:graphicData uri="http://schemas.microsoft.com/office/drawing/2010/slicer">
              <sle:slicer xmlns:sle="http://schemas.microsoft.com/office/drawing/2010/slicer" name="Condition "/>
            </a:graphicData>
          </a:graphic>
        </xdr:graphicFrame>
      </mc:Choice>
      <mc:Fallback>
        <xdr:sp macro="" textlink="">
          <xdr:nvSpPr>
            <xdr:cNvPr id="0" name=""/>
            <xdr:cNvSpPr>
              <a:spLocks noTextEdit="1"/>
            </xdr:cNvSpPr>
          </xdr:nvSpPr>
          <xdr:spPr>
            <a:xfrm>
              <a:off x="826227" y="17758261"/>
              <a:ext cx="1828800" cy="21124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84667</xdr:colOff>
      <xdr:row>127</xdr:row>
      <xdr:rowOff>105834</xdr:rowOff>
    </xdr:from>
    <xdr:to>
      <xdr:col>2</xdr:col>
      <xdr:colOff>67733</xdr:colOff>
      <xdr:row>140</xdr:row>
      <xdr:rowOff>142875</xdr:rowOff>
    </xdr:to>
    <mc:AlternateContent xmlns:mc="http://schemas.openxmlformats.org/markup-compatibility/2006">
      <mc:Choice xmlns:sle15="http://schemas.microsoft.com/office/drawing/2012/slicer" Requires="sle15">
        <xdr:graphicFrame macro="">
          <xdr:nvGraphicFramePr>
            <xdr:cNvPr id="8" name="# of Items ">
              <a:extLst>
                <a:ext uri="{FF2B5EF4-FFF2-40B4-BE49-F238E27FC236}">
                  <a16:creationId xmlns:a16="http://schemas.microsoft.com/office/drawing/2014/main" id="{EDE22A2B-E9FB-2B39-46FD-44DA92362CD7}"/>
                </a:ext>
              </a:extLst>
            </xdr:cNvPr>
            <xdr:cNvGraphicFramePr/>
          </xdr:nvGraphicFramePr>
          <xdr:xfrm>
            <a:off x="0" y="0"/>
            <a:ext cx="0" cy="0"/>
          </xdr:xfrm>
          <a:graphic>
            <a:graphicData uri="http://schemas.microsoft.com/office/drawing/2010/slicer">
              <sle:slicer xmlns:sle="http://schemas.microsoft.com/office/drawing/2010/slicer" name="# of Items "/>
            </a:graphicData>
          </a:graphic>
        </xdr:graphicFrame>
      </mc:Choice>
      <mc:Fallback>
        <xdr:sp macro="" textlink="">
          <xdr:nvSpPr>
            <xdr:cNvPr id="0" name=""/>
            <xdr:cNvSpPr>
              <a:spLocks noTextEdit="1"/>
            </xdr:cNvSpPr>
          </xdr:nvSpPr>
          <xdr:spPr>
            <a:xfrm>
              <a:off x="909053" y="20180746"/>
              <a:ext cx="1832364" cy="206458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esar Sanchez" refreshedDate="46206.491708333335" createdVersion="8" refreshedVersion="8" minRefreshableVersion="3" recordCount="62" xr:uid="{3CD7610C-0682-2043-A210-8E5214015897}">
  <cacheSource type="worksheet">
    <worksheetSource name="Table3345"/>
  </cacheSource>
  <cacheFields count="8">
    <cacheField name="Category" numFmtId="0">
      <sharedItems count="3">
        <s v="Serving &amp; Miscellaneous"/>
        <s v="Food Preparation Tools"/>
        <s v="Cookware &amp; Bakeware"/>
      </sharedItems>
    </cacheField>
    <cacheField name="Item" numFmtId="0">
      <sharedItems count="53">
        <s v="Black Aprons"/>
        <s v="White Aprons"/>
        <s v="Warm Cooking Mats"/>
        <s v="Tiny Travel Bags"/>
        <s v="Cookie Cutters"/>
        <s v="Oven Mitts"/>
        <s v="Parchment Paper"/>
        <s v="Scoops"/>
        <s v="Bowls"/>
        <s v="Cups"/>
        <s v="Plates"/>
        <s v="Glass Sauce Bowls"/>
        <s v="To-Go Containers"/>
        <s v="Cocktail Shakers"/>
        <s v="Whiskey Cups"/>
        <s v="Forks"/>
        <s v="Serrated Knives"/>
        <s v="Butter Knives"/>
        <s v="Spoons"/>
        <s v="Thermometers"/>
        <s v="Strainers"/>
        <s v="Whisks"/>
        <s v="Serving Spoons"/>
        <s v="Metal Serving Spoons"/>
        <s v="Ladles"/>
        <s v="Plastic Serving Spoons"/>
        <s v="Baking Sheets"/>
        <s v="Wire Racks"/>
        <s v="Burners"/>
        <s v="Pans"/>
        <s v="Pots"/>
        <s v="Cutting Boards"/>
        <s v="Rolling Pins"/>
        <s v="Mixing Bowls"/>
        <s v="1/4 Cup Measuring Cups"/>
        <s v="1/3 Cup Measuring Spoons"/>
        <s v="1/2 Cup Measuring Spoons"/>
        <s v="1 Cup Measuring Cups"/>
        <s v="Silicone Spatulas"/>
        <s v="Spatulas"/>
        <s v="Cutting Knives (Red)"/>
        <s v="Cutting Knives (Green)"/>
        <s v="Cutting Knives (Yellow)"/>
        <s v="Wooden Spoons"/>
        <s v="Blenders"/>
        <s v="Electric Kettle"/>
        <s v="Wide Glass Bowl"/>
        <s v="Pasta Machines"/>
        <s v="Plastic Pitchers"/>
        <s v="Tongs"/>
        <s v="Big Pasta Pot"/>
        <s v="Spider Strainer"/>
        <s v="Clips"/>
      </sharedItems>
    </cacheField>
    <cacheField name="Size" numFmtId="0">
      <sharedItems count="4">
        <s v="N/A"/>
        <s v="Small"/>
        <s v="Medium "/>
        <s v="Large"/>
      </sharedItems>
    </cacheField>
    <cacheField name="Expected Qty" numFmtId="0">
      <sharedItems containsSemiMixedTypes="0" containsString="0" containsNumber="1" containsInteger="1" minValue="1" maxValue="275"/>
    </cacheField>
    <cacheField name="Current Qty" numFmtId="0">
      <sharedItems containsSemiMixedTypes="0" containsString="0" containsNumber="1" containsInteger="1" minValue="0" maxValue="175" count="19">
        <n v="9"/>
        <n v="4"/>
        <n v="0"/>
        <n v="25"/>
        <n v="2"/>
        <n v="175"/>
        <n v="12"/>
        <n v="24"/>
        <n v="8"/>
        <n v="17"/>
        <n v="19"/>
        <n v="10"/>
        <n v="11"/>
        <n v="3"/>
        <n v="14"/>
        <n v="13"/>
        <n v="6"/>
        <n v="1"/>
        <n v="5"/>
      </sharedItems>
    </cacheField>
    <cacheField name="Variance" numFmtId="0">
      <sharedItems containsSemiMixedTypes="0" containsString="0" containsNumber="1" containsInteger="1" minValue="-275" maxValue="1"/>
    </cacheField>
    <cacheField name="Condition" numFmtId="0">
      <sharedItems/>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x v="0"/>
    <n v="10"/>
    <x v="0"/>
    <n v="-1"/>
    <s v="Good "/>
    <m/>
  </r>
  <r>
    <x v="0"/>
    <x v="1"/>
    <x v="0"/>
    <n v="10"/>
    <x v="0"/>
    <n v="-1"/>
    <s v="Good "/>
    <m/>
  </r>
  <r>
    <x v="0"/>
    <x v="2"/>
    <x v="0"/>
    <n v="5"/>
    <x v="1"/>
    <n v="-1"/>
    <s v="Good "/>
    <m/>
  </r>
  <r>
    <x v="0"/>
    <x v="3"/>
    <x v="1"/>
    <n v="275"/>
    <x v="2"/>
    <n v="-275"/>
    <s v="Good "/>
    <s v="Done "/>
  </r>
  <r>
    <x v="1"/>
    <x v="4"/>
    <x v="0"/>
    <n v="25"/>
    <x v="3"/>
    <n v="0"/>
    <s v="Good "/>
    <m/>
  </r>
  <r>
    <x v="1"/>
    <x v="5"/>
    <x v="2"/>
    <n v="2"/>
    <x v="4"/>
    <n v="0"/>
    <s v="Good "/>
    <m/>
  </r>
  <r>
    <x v="2"/>
    <x v="6"/>
    <x v="0"/>
    <n v="175"/>
    <x v="5"/>
    <n v="0"/>
    <s v="Good "/>
    <m/>
  </r>
  <r>
    <x v="1"/>
    <x v="7"/>
    <x v="0"/>
    <n v="12"/>
    <x v="6"/>
    <n v="0"/>
    <s v="Good "/>
    <m/>
  </r>
  <r>
    <x v="0"/>
    <x v="8"/>
    <x v="1"/>
    <n v="12"/>
    <x v="6"/>
    <n v="0"/>
    <s v="Good "/>
    <m/>
  </r>
  <r>
    <x v="0"/>
    <x v="9"/>
    <x v="1"/>
    <n v="12"/>
    <x v="6"/>
    <n v="0"/>
    <s v="Good "/>
    <m/>
  </r>
  <r>
    <x v="0"/>
    <x v="10"/>
    <x v="1"/>
    <n v="12"/>
    <x v="6"/>
    <n v="0"/>
    <s v="Good "/>
    <m/>
  </r>
  <r>
    <x v="0"/>
    <x v="10"/>
    <x v="3"/>
    <n v="12"/>
    <x v="6"/>
    <n v="0"/>
    <s v="Good "/>
    <m/>
  </r>
  <r>
    <x v="0"/>
    <x v="11"/>
    <x v="1"/>
    <n v="24"/>
    <x v="7"/>
    <n v="0"/>
    <s v="Good "/>
    <m/>
  </r>
  <r>
    <x v="0"/>
    <x v="12"/>
    <x v="3"/>
    <n v="12"/>
    <x v="8"/>
    <n v="-4"/>
    <s v="Good "/>
    <s v="Students took leftover home "/>
  </r>
  <r>
    <x v="0"/>
    <x v="13"/>
    <x v="1"/>
    <n v="12"/>
    <x v="6"/>
    <n v="0"/>
    <s v="Good "/>
    <m/>
  </r>
  <r>
    <x v="0"/>
    <x v="14"/>
    <x v="2"/>
    <n v="17"/>
    <x v="9"/>
    <n v="0"/>
    <s v="Good "/>
    <m/>
  </r>
  <r>
    <x v="0"/>
    <x v="15"/>
    <x v="0"/>
    <n v="22"/>
    <x v="10"/>
    <n v="-3"/>
    <s v="Good "/>
    <m/>
  </r>
  <r>
    <x v="0"/>
    <x v="16"/>
    <x v="0"/>
    <n v="11"/>
    <x v="11"/>
    <n v="-1"/>
    <s v="Good "/>
    <m/>
  </r>
  <r>
    <x v="0"/>
    <x v="17"/>
    <x v="0"/>
    <n v="12"/>
    <x v="12"/>
    <n v="-1"/>
    <s v="Good "/>
    <m/>
  </r>
  <r>
    <x v="0"/>
    <x v="18"/>
    <x v="0"/>
    <n v="24"/>
    <x v="7"/>
    <n v="0"/>
    <s v="Good "/>
    <m/>
  </r>
  <r>
    <x v="1"/>
    <x v="7"/>
    <x v="3"/>
    <n v="10"/>
    <x v="12"/>
    <n v="1"/>
    <s v="Good "/>
    <m/>
  </r>
  <r>
    <x v="1"/>
    <x v="7"/>
    <x v="1"/>
    <n v="11"/>
    <x v="6"/>
    <n v="1"/>
    <s v="Good "/>
    <m/>
  </r>
  <r>
    <x v="1"/>
    <x v="19"/>
    <x v="1"/>
    <n v="12"/>
    <x v="6"/>
    <n v="0"/>
    <s v="Good "/>
    <m/>
  </r>
  <r>
    <x v="1"/>
    <x v="20"/>
    <x v="3"/>
    <n v="12"/>
    <x v="6"/>
    <n v="0"/>
    <s v="Good "/>
    <m/>
  </r>
  <r>
    <x v="1"/>
    <x v="21"/>
    <x v="3"/>
    <n v="3"/>
    <x v="13"/>
    <n v="0"/>
    <s v="Good "/>
    <m/>
  </r>
  <r>
    <x v="1"/>
    <x v="21"/>
    <x v="1"/>
    <n v="16"/>
    <x v="14"/>
    <n v="-2"/>
    <s v="Good "/>
    <m/>
  </r>
  <r>
    <x v="1"/>
    <x v="22"/>
    <x v="0"/>
    <n v="10"/>
    <x v="11"/>
    <n v="0"/>
    <s v="Good "/>
    <m/>
  </r>
  <r>
    <x v="1"/>
    <x v="23"/>
    <x v="0"/>
    <n v="8"/>
    <x v="8"/>
    <n v="0"/>
    <s v="Good "/>
    <m/>
  </r>
  <r>
    <x v="1"/>
    <x v="24"/>
    <x v="0"/>
    <n v="2"/>
    <x v="4"/>
    <n v="0"/>
    <s v="Good "/>
    <m/>
  </r>
  <r>
    <x v="1"/>
    <x v="25"/>
    <x v="0"/>
    <n v="3"/>
    <x v="13"/>
    <n v="0"/>
    <s v="Good "/>
    <m/>
  </r>
  <r>
    <x v="2"/>
    <x v="26"/>
    <x v="3"/>
    <n v="2"/>
    <x v="4"/>
    <n v="0"/>
    <s v="Good "/>
    <m/>
  </r>
  <r>
    <x v="2"/>
    <x v="27"/>
    <x v="3"/>
    <n v="2"/>
    <x v="4"/>
    <n v="0"/>
    <s v="Good "/>
    <m/>
  </r>
  <r>
    <x v="2"/>
    <x v="28"/>
    <x v="3"/>
    <n v="8"/>
    <x v="8"/>
    <n v="0"/>
    <s v="Good "/>
    <m/>
  </r>
  <r>
    <x v="2"/>
    <x v="29"/>
    <x v="3"/>
    <n v="12"/>
    <x v="6"/>
    <n v="0"/>
    <s v="Good "/>
    <m/>
  </r>
  <r>
    <x v="2"/>
    <x v="29"/>
    <x v="2"/>
    <n v="12"/>
    <x v="6"/>
    <n v="0"/>
    <s v="Good "/>
    <m/>
  </r>
  <r>
    <x v="2"/>
    <x v="29"/>
    <x v="1"/>
    <n v="12"/>
    <x v="6"/>
    <n v="0"/>
    <s v="Good "/>
    <m/>
  </r>
  <r>
    <x v="2"/>
    <x v="30"/>
    <x v="2"/>
    <n v="12"/>
    <x v="6"/>
    <n v="0"/>
    <s v="Good "/>
    <m/>
  </r>
  <r>
    <x v="2"/>
    <x v="30"/>
    <x v="1"/>
    <n v="12"/>
    <x v="6"/>
    <n v="0"/>
    <s v="Good "/>
    <m/>
  </r>
  <r>
    <x v="1"/>
    <x v="31"/>
    <x v="0"/>
    <n v="12"/>
    <x v="6"/>
    <n v="0"/>
    <s v="Good "/>
    <m/>
  </r>
  <r>
    <x v="1"/>
    <x v="32"/>
    <x v="0"/>
    <n v="11"/>
    <x v="12"/>
    <n v="0"/>
    <s v="Good "/>
    <m/>
  </r>
  <r>
    <x v="2"/>
    <x v="33"/>
    <x v="3"/>
    <n v="12"/>
    <x v="6"/>
    <n v="0"/>
    <s v="Good "/>
    <m/>
  </r>
  <r>
    <x v="2"/>
    <x v="33"/>
    <x v="2"/>
    <n v="12"/>
    <x v="6"/>
    <n v="0"/>
    <s v="Good "/>
    <m/>
  </r>
  <r>
    <x v="2"/>
    <x v="33"/>
    <x v="1"/>
    <n v="12"/>
    <x v="6"/>
    <n v="0"/>
    <s v="Good "/>
    <m/>
  </r>
  <r>
    <x v="1"/>
    <x v="34"/>
    <x v="0"/>
    <n v="14"/>
    <x v="14"/>
    <n v="0"/>
    <s v="Good "/>
    <m/>
  </r>
  <r>
    <x v="1"/>
    <x v="35"/>
    <x v="0"/>
    <n v="14"/>
    <x v="14"/>
    <n v="0"/>
    <s v="Good "/>
    <m/>
  </r>
  <r>
    <x v="1"/>
    <x v="36"/>
    <x v="0"/>
    <n v="14"/>
    <x v="14"/>
    <n v="0"/>
    <s v="Good "/>
    <m/>
  </r>
  <r>
    <x v="1"/>
    <x v="37"/>
    <x v="0"/>
    <n v="12"/>
    <x v="6"/>
    <n v="0"/>
    <s v="Good "/>
    <m/>
  </r>
  <r>
    <x v="1"/>
    <x v="38"/>
    <x v="0"/>
    <n v="12"/>
    <x v="15"/>
    <n v="1"/>
    <s v="Good "/>
    <m/>
  </r>
  <r>
    <x v="1"/>
    <x v="39"/>
    <x v="0"/>
    <n v="6"/>
    <x v="16"/>
    <n v="0"/>
    <s v="Good "/>
    <m/>
  </r>
  <r>
    <x v="1"/>
    <x v="40"/>
    <x v="2"/>
    <n v="12"/>
    <x v="6"/>
    <n v="0"/>
    <s v="Good "/>
    <m/>
  </r>
  <r>
    <x v="1"/>
    <x v="41"/>
    <x v="2"/>
    <n v="10"/>
    <x v="11"/>
    <n v="0"/>
    <s v="Good "/>
    <m/>
  </r>
  <r>
    <x v="1"/>
    <x v="42"/>
    <x v="1"/>
    <n v="12"/>
    <x v="6"/>
    <n v="0"/>
    <s v="Good "/>
    <m/>
  </r>
  <r>
    <x v="1"/>
    <x v="43"/>
    <x v="0"/>
    <n v="12"/>
    <x v="6"/>
    <n v="0"/>
    <s v="Good "/>
    <m/>
  </r>
  <r>
    <x v="2"/>
    <x v="44"/>
    <x v="3"/>
    <n v="2"/>
    <x v="4"/>
    <n v="0"/>
    <s v="Good "/>
    <m/>
  </r>
  <r>
    <x v="2"/>
    <x v="45"/>
    <x v="0"/>
    <n v="1"/>
    <x v="17"/>
    <n v="0"/>
    <s v="Good "/>
    <m/>
  </r>
  <r>
    <x v="2"/>
    <x v="46"/>
    <x v="3"/>
    <n v="1"/>
    <x v="17"/>
    <n v="0"/>
    <s v="Good "/>
    <m/>
  </r>
  <r>
    <x v="2"/>
    <x v="47"/>
    <x v="0"/>
    <n v="5"/>
    <x v="18"/>
    <n v="0"/>
    <s v="Good "/>
    <m/>
  </r>
  <r>
    <x v="1"/>
    <x v="48"/>
    <x v="0"/>
    <n v="2"/>
    <x v="17"/>
    <n v="-1"/>
    <s v="Good "/>
    <s v="GA currently has it"/>
  </r>
  <r>
    <x v="1"/>
    <x v="49"/>
    <x v="0"/>
    <n v="12"/>
    <x v="6"/>
    <n v="0"/>
    <s v="Good "/>
    <m/>
  </r>
  <r>
    <x v="2"/>
    <x v="50"/>
    <x v="3"/>
    <n v="1"/>
    <x v="17"/>
    <n v="0"/>
    <s v="Good "/>
    <m/>
  </r>
  <r>
    <x v="1"/>
    <x v="51"/>
    <x v="0"/>
    <n v="1"/>
    <x v="17"/>
    <n v="0"/>
    <s v="Good "/>
    <m/>
  </r>
  <r>
    <x v="1"/>
    <x v="52"/>
    <x v="0"/>
    <n v="3"/>
    <x v="13"/>
    <n v="0"/>
    <s v="Good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03F910-220F-934F-B2B9-ED1843C55DA4}"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3:N80" firstHeaderRow="1" firstDataRow="1" firstDataCol="1"/>
  <pivotFields count="8">
    <pivotField axis="axisRow" showAll="0">
      <items count="4">
        <item x="2"/>
        <item x="1"/>
        <item x="0"/>
        <item t="default"/>
      </items>
    </pivotField>
    <pivotField axis="axisRow" showAll="0">
      <items count="54">
        <item x="37"/>
        <item x="36"/>
        <item x="35"/>
        <item x="34"/>
        <item x="26"/>
        <item x="50"/>
        <item x="0"/>
        <item x="44"/>
        <item x="8"/>
        <item x="28"/>
        <item x="17"/>
        <item x="52"/>
        <item x="13"/>
        <item x="4"/>
        <item x="9"/>
        <item x="31"/>
        <item x="41"/>
        <item x="40"/>
        <item x="42"/>
        <item x="45"/>
        <item x="15"/>
        <item x="11"/>
        <item x="24"/>
        <item x="23"/>
        <item x="33"/>
        <item x="5"/>
        <item x="29"/>
        <item x="6"/>
        <item x="47"/>
        <item x="48"/>
        <item x="25"/>
        <item x="10"/>
        <item x="30"/>
        <item x="32"/>
        <item x="7"/>
        <item x="16"/>
        <item x="22"/>
        <item x="38"/>
        <item x="39"/>
        <item x="51"/>
        <item x="18"/>
        <item x="20"/>
        <item x="19"/>
        <item x="3"/>
        <item x="12"/>
        <item x="49"/>
        <item x="2"/>
        <item x="14"/>
        <item x="21"/>
        <item x="1"/>
        <item x="46"/>
        <item x="27"/>
        <item x="43"/>
        <item t="default"/>
      </items>
    </pivotField>
    <pivotField showAll="0">
      <items count="5">
        <item x="3"/>
        <item x="2"/>
        <item x="0"/>
        <item x="1"/>
        <item t="default"/>
      </items>
    </pivotField>
    <pivotField showAll="0"/>
    <pivotField dataField="1" showAll="0">
      <items count="20">
        <item x="2"/>
        <item x="17"/>
        <item x="4"/>
        <item x="13"/>
        <item x="1"/>
        <item x="18"/>
        <item x="16"/>
        <item x="8"/>
        <item x="0"/>
        <item x="11"/>
        <item x="12"/>
        <item x="6"/>
        <item x="15"/>
        <item x="14"/>
        <item x="9"/>
        <item x="10"/>
        <item x="7"/>
        <item x="3"/>
        <item x="5"/>
        <item t="default"/>
      </items>
    </pivotField>
    <pivotField showAll="0"/>
    <pivotField showAll="0"/>
    <pivotField showAll="0"/>
  </pivotFields>
  <rowFields count="2">
    <field x="0"/>
    <field x="1"/>
  </rowFields>
  <rowItems count="57">
    <i>
      <x/>
    </i>
    <i r="1">
      <x v="4"/>
    </i>
    <i r="1">
      <x v="5"/>
    </i>
    <i r="1">
      <x v="7"/>
    </i>
    <i r="1">
      <x v="9"/>
    </i>
    <i r="1">
      <x v="19"/>
    </i>
    <i r="1">
      <x v="24"/>
    </i>
    <i r="1">
      <x v="26"/>
    </i>
    <i r="1">
      <x v="27"/>
    </i>
    <i r="1">
      <x v="28"/>
    </i>
    <i r="1">
      <x v="32"/>
    </i>
    <i r="1">
      <x v="50"/>
    </i>
    <i r="1">
      <x v="51"/>
    </i>
    <i>
      <x v="1"/>
    </i>
    <i r="1">
      <x/>
    </i>
    <i r="1">
      <x v="1"/>
    </i>
    <i r="1">
      <x v="2"/>
    </i>
    <i r="1">
      <x v="3"/>
    </i>
    <i r="1">
      <x v="11"/>
    </i>
    <i r="1">
      <x v="13"/>
    </i>
    <i r="1">
      <x v="15"/>
    </i>
    <i r="1">
      <x v="16"/>
    </i>
    <i r="1">
      <x v="17"/>
    </i>
    <i r="1">
      <x v="18"/>
    </i>
    <i r="1">
      <x v="22"/>
    </i>
    <i r="1">
      <x v="23"/>
    </i>
    <i r="1">
      <x v="25"/>
    </i>
    <i r="1">
      <x v="29"/>
    </i>
    <i r="1">
      <x v="30"/>
    </i>
    <i r="1">
      <x v="33"/>
    </i>
    <i r="1">
      <x v="34"/>
    </i>
    <i r="1">
      <x v="36"/>
    </i>
    <i r="1">
      <x v="37"/>
    </i>
    <i r="1">
      <x v="38"/>
    </i>
    <i r="1">
      <x v="39"/>
    </i>
    <i r="1">
      <x v="41"/>
    </i>
    <i r="1">
      <x v="42"/>
    </i>
    <i r="1">
      <x v="45"/>
    </i>
    <i r="1">
      <x v="48"/>
    </i>
    <i r="1">
      <x v="52"/>
    </i>
    <i>
      <x v="2"/>
    </i>
    <i r="1">
      <x v="6"/>
    </i>
    <i r="1">
      <x v="8"/>
    </i>
    <i r="1">
      <x v="10"/>
    </i>
    <i r="1">
      <x v="12"/>
    </i>
    <i r="1">
      <x v="14"/>
    </i>
    <i r="1">
      <x v="20"/>
    </i>
    <i r="1">
      <x v="21"/>
    </i>
    <i r="1">
      <x v="31"/>
    </i>
    <i r="1">
      <x v="35"/>
    </i>
    <i r="1">
      <x v="40"/>
    </i>
    <i r="1">
      <x v="43"/>
    </i>
    <i r="1">
      <x v="44"/>
    </i>
    <i r="1">
      <x v="46"/>
    </i>
    <i r="1">
      <x v="47"/>
    </i>
    <i r="1">
      <x v="49"/>
    </i>
    <i t="grand">
      <x/>
    </i>
  </rowItems>
  <colItems count="1">
    <i/>
  </colItems>
  <dataFields count="1">
    <dataField name="Sum of Current Q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484678-C6A4-AD4E-93B6-760FBE07887F}" sourceName="Category">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riance" xr10:uid="{854E2810-A9B7-0F4A-8C34-D8E7E1D433DE}" sourceName="Variance">
  <extLst>
    <x:ext xmlns:x15="http://schemas.microsoft.com/office/spreadsheetml/2010/11/main" uri="{2F2917AC-EB37-4324-AD4E-5DD8C200BD13}">
      <x15:tableSlicerCache tableId="4" column="6" sortOrder="descending" customListSort="0"/>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6F290944-F0B1-9043-BECD-876A2E0D10DF}" sourceName="Condition">
  <extLst>
    <x:ext xmlns:x15="http://schemas.microsoft.com/office/spreadsheetml/2010/11/main" uri="{2F2917AC-EB37-4324-AD4E-5DD8C200BD13}">
      <x15:tableSlicerCache tableId="4"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ation_Date" xr10:uid="{B4A2297A-A4B3-3044-BA70-3CFADA2528D8}" sourceName="Experation Date">
  <extLst>
    <x:ext xmlns:x15="http://schemas.microsoft.com/office/spreadsheetml/2010/11/main" uri="{2F2917AC-EB37-4324-AD4E-5DD8C200BD13}">
      <x15:tableSlicerCache tableId="7" column="3" sortOrder="descending"/>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1" xr10:uid="{CD3E58E4-8196-EB40-ABD7-43750D1173D2}" sourceName="Condition ">
  <extLst>
    <x:ext xmlns:x15="http://schemas.microsoft.com/office/spreadsheetml/2010/11/main" uri="{2F2917AC-EB37-4324-AD4E-5DD8C200BD13}">
      <x15:tableSlicerCache tableId="7"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of_Items" xr10:uid="{2A6B3213-A867-5640-9CAE-271D10374546}" sourceName="# of Items ">
  <extLst>
    <x:ext xmlns:x15="http://schemas.microsoft.com/office/spreadsheetml/2010/11/main" uri="{2F2917AC-EB37-4324-AD4E-5DD8C200BD13}">
      <x15:tableSlicerCache tableId="7"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F2F6B4D-350A-7740-87FA-72B720ACBFFA}" cache="Slicer_Category" caption="Category" rowHeight="209550"/>
  <slicer name="Category" xr10:uid="{AC9DBECC-681B-A542-B390-E589AA955C05}" cache="Slicer_Category" caption="Category" style="SlicerStyleOther1" rowHeight="209550"/>
  <slicer name="Variance " xr10:uid="{96944FE8-055C-8E48-A691-B8F001EA5F3D}" cache="Slicer_Variance" caption="Variance" style="SlicerStyleOther1" rowHeight="209550"/>
  <slicer name="Condition" xr10:uid="{024D7AAB-3CF8-0B45-ADC6-A970AE2D1C9B}" cache="Slicer_Condition" caption="Condition" style="SlicerStyleOther1" rowHeight="209550"/>
  <slicer name="Experation Date" xr10:uid="{E1EF45A7-2C7C-F048-B77D-658FC96EE83B}" cache="Slicer_Experation_Date" caption="Experation Date" rowHeight="209550"/>
  <slicer name="Condition " xr10:uid="{26E1D369-87D7-214C-A476-17FAE41A26F5}" cache="Slicer_Condition1" caption="Condition " rowHeight="209550"/>
  <slicer name="# of Items " xr10:uid="{4948D115-42C3-C84C-8AE1-51997F79104B}" cache="Slicer___of_Items" caption="# of Items "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8A7D0A-D089-D742-ACA7-756F92B1ACD6}" name="Table3345" displayName="Table3345" ref="D19:K81" totalsRowShown="0" headerRowDxfId="22" headerRowBorderDxfId="20" tableBorderDxfId="16" totalsRowBorderDxfId="21">
  <autoFilter ref="D19:K81" xr:uid="{C88A7D0A-D089-D742-ACA7-756F92B1ACD6}"/>
  <tableColumns count="8">
    <tableColumn id="1" xr3:uid="{D43AB57E-B773-B042-835A-26BE20A9A2DA}" name="Category" dataDxfId="15"/>
    <tableColumn id="2" xr3:uid="{1C586210-1EA4-E844-A5DA-25502930EBE7}" name="Item" dataDxfId="14"/>
    <tableColumn id="3" xr3:uid="{B867D6D7-1B84-CB4A-BBBD-4FB334B5D542}" name="Size" dataDxfId="13"/>
    <tableColumn id="4" xr3:uid="{8EAD4D64-1DEF-0B4B-8CCC-286C35B779B0}" name="Expected Qty" dataDxfId="12"/>
    <tableColumn id="5" xr3:uid="{446EACB1-CC71-B342-B444-52DFDD1F536E}" name="Current Qty" dataDxfId="11"/>
    <tableColumn id="6" xr3:uid="{EA6CF41C-C7A0-6E4E-A86F-3F9884CE76FD}" name="Variance" dataDxfId="10">
      <calculatedColumnFormula>Table3345[[#This Row],[Current Qty]]-Table3345[[#This Row],[Expected Qty]]</calculatedColumnFormula>
    </tableColumn>
    <tableColumn id="7" xr3:uid="{0CD072DA-B96D-5744-97A4-3874860E32FB}" name="Condition" dataDxfId="9"/>
    <tableColumn id="8" xr3:uid="{6EE1C09D-85D0-0C46-BCF6-68A04F96D7AD}" name="Notes"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4080A0-5425-8540-8342-C142082B2712}" name="Food_Inventory" displayName="Food_Inventory" ref="D93:H175" totalsRowShown="0" headerRowDxfId="7" headerRowBorderDxfId="6" tableBorderDxfId="5">
  <autoFilter ref="D93:H175" xr:uid="{B74080A0-5425-8540-8342-C142082B2712}">
    <filterColumn colId="3">
      <filters blank="1"/>
    </filterColumn>
  </autoFilter>
  <tableColumns count="5">
    <tableColumn id="1" xr3:uid="{97E2D356-E43D-BC44-A322-35084AE7322D}" name="Item " dataDxfId="4"/>
    <tableColumn id="2" xr3:uid="{6C47E8B6-A261-AC4E-9647-D0C0B4E4768E}" name="# of Items " dataDxfId="0"/>
    <tableColumn id="3" xr3:uid="{43A4A13F-4C92-F348-BC66-5FD5541464EC}" name="Experation Date" dataDxfId="3"/>
    <tableColumn id="4" xr3:uid="{D8C797C6-0582-7842-97E7-37C205F651D6}" name="Condition " dataDxfId="1"/>
    <tableColumn id="5" xr3:uid="{717ACBB8-538C-9947-8965-9F12B9500A8F}" name="Notes" dataDxfId="2"/>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D4503-8CE6-2749-BDD8-008F4A23D15D}">
  <dimension ref="G3:G20"/>
  <sheetViews>
    <sheetView topLeftCell="D1" zoomScale="181" workbookViewId="0">
      <selection activeCell="H7" sqref="H7"/>
    </sheetView>
  </sheetViews>
  <sheetFormatPr baseColWidth="10" defaultRowHeight="13" x14ac:dyDescent="0.15"/>
  <cols>
    <col min="7" max="7" width="66" customWidth="1"/>
  </cols>
  <sheetData>
    <row r="3" spans="7:7" ht="14" thickBot="1" x14ac:dyDescent="0.2"/>
    <row r="4" spans="7:7" ht="16" x14ac:dyDescent="0.15">
      <c r="G4" s="20" t="s">
        <v>73</v>
      </c>
    </row>
    <row r="5" spans="7:7" ht="14" thickBot="1" x14ac:dyDescent="0.2">
      <c r="G5" s="21"/>
    </row>
    <row r="6" spans="7:7" ht="14" thickBot="1" x14ac:dyDescent="0.2">
      <c r="G6" s="19" t="s">
        <v>72</v>
      </c>
    </row>
    <row r="7" spans="7:7" x14ac:dyDescent="0.15">
      <c r="G7" s="22" t="s">
        <v>43</v>
      </c>
    </row>
    <row r="8" spans="7:7" x14ac:dyDescent="0.15">
      <c r="G8" s="22" t="s">
        <v>3</v>
      </c>
    </row>
    <row r="9" spans="7:7" x14ac:dyDescent="0.15">
      <c r="G9" s="22" t="s">
        <v>7</v>
      </c>
    </row>
    <row r="10" spans="7:7" x14ac:dyDescent="0.15">
      <c r="G10" s="21"/>
    </row>
    <row r="11" spans="7:7" ht="14" thickBot="1" x14ac:dyDescent="0.2">
      <c r="G11" s="21"/>
    </row>
    <row r="12" spans="7:7" ht="14" thickBot="1" x14ac:dyDescent="0.2">
      <c r="G12" s="19" t="s">
        <v>58</v>
      </c>
    </row>
    <row r="13" spans="7:7" x14ac:dyDescent="0.15">
      <c r="G13" s="8" t="s">
        <v>1</v>
      </c>
    </row>
    <row r="14" spans="7:7" x14ac:dyDescent="0.15">
      <c r="G14" s="7" t="s">
        <v>15</v>
      </c>
    </row>
    <row r="15" spans="7:7" x14ac:dyDescent="0.15">
      <c r="G15" s="7" t="s">
        <v>17</v>
      </c>
    </row>
    <row r="16" spans="7:7" ht="14" thickBot="1" x14ac:dyDescent="0.2">
      <c r="G16" s="3" t="s">
        <v>5</v>
      </c>
    </row>
    <row r="17" spans="7:7" ht="14" thickBot="1" x14ac:dyDescent="0.2">
      <c r="G17" s="21"/>
    </row>
    <row r="18" spans="7:7" ht="14" thickBot="1" x14ac:dyDescent="0.2">
      <c r="G18" s="19" t="s">
        <v>53</v>
      </c>
    </row>
    <row r="19" spans="7:7" x14ac:dyDescent="0.15">
      <c r="G19" s="23" t="s">
        <v>51</v>
      </c>
    </row>
    <row r="20" spans="7:7" ht="14" thickBot="1" x14ac:dyDescent="0.2">
      <c r="G20" s="2"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07DE6-E513-D34A-93EA-39EA687ACE34}">
  <dimension ref="D14:N175"/>
  <sheetViews>
    <sheetView tabSelected="1" zoomScale="57" zoomScaleNormal="136" workbookViewId="0">
      <selection activeCell="J102" sqref="J102"/>
    </sheetView>
  </sheetViews>
  <sheetFormatPr baseColWidth="10" defaultRowHeight="13" x14ac:dyDescent="0.15"/>
  <cols>
    <col min="2" max="2" width="24.1640625" customWidth="1"/>
    <col min="3" max="3" width="11.6640625" customWidth="1"/>
    <col min="4" max="4" width="20.1640625" customWidth="1"/>
    <col min="5" max="5" width="22.6640625" bestFit="1" customWidth="1"/>
    <col min="6" max="6" width="21" bestFit="1" customWidth="1"/>
    <col min="7" max="7" width="19" bestFit="1" customWidth="1"/>
    <col min="8" max="8" width="24.6640625" customWidth="1"/>
    <col min="9" max="9" width="17.1640625" bestFit="1" customWidth="1"/>
    <col min="10" max="10" width="18.83203125" bestFit="1" customWidth="1"/>
    <col min="11" max="11" width="39.6640625" customWidth="1"/>
    <col min="12" max="12" width="41.1640625" customWidth="1"/>
    <col min="13" max="13" width="26.5" bestFit="1" customWidth="1"/>
    <col min="14" max="14" width="16.83203125" bestFit="1" customWidth="1"/>
    <col min="15" max="15" width="8" bestFit="1" customWidth="1"/>
    <col min="16" max="16" width="4.1640625" bestFit="1" customWidth="1"/>
    <col min="17" max="17" width="5.83203125" bestFit="1" customWidth="1"/>
    <col min="18" max="18" width="10.6640625" bestFit="1" customWidth="1"/>
    <col min="19" max="19" width="3.1640625" bestFit="1" customWidth="1"/>
    <col min="20" max="20" width="10.33203125" bestFit="1" customWidth="1"/>
    <col min="21" max="21" width="9.83203125" bestFit="1" customWidth="1"/>
    <col min="22" max="24" width="3.1640625" bestFit="1" customWidth="1"/>
    <col min="25" max="25" width="12.5" bestFit="1" customWidth="1"/>
    <col min="26" max="26" width="5.83203125" bestFit="1" customWidth="1"/>
    <col min="27" max="33" width="2.1640625" bestFit="1" customWidth="1"/>
    <col min="34" max="41" width="3.1640625" bestFit="1" customWidth="1"/>
    <col min="42" max="42" width="4.1640625" bestFit="1" customWidth="1"/>
    <col min="43" max="43" width="8.5" bestFit="1" customWidth="1"/>
    <col min="44" max="44" width="7.6640625" bestFit="1" customWidth="1"/>
    <col min="45" max="47" width="3.1640625" bestFit="1" customWidth="1"/>
    <col min="48" max="48" width="10.33203125" bestFit="1" customWidth="1"/>
    <col min="49" max="49" width="10.6640625" bestFit="1" customWidth="1"/>
  </cols>
  <sheetData>
    <row r="14" spans="4:11" ht="14" thickBot="1" x14ac:dyDescent="0.2"/>
    <row r="15" spans="4:11" x14ac:dyDescent="0.15">
      <c r="D15" s="26" t="s">
        <v>80</v>
      </c>
      <c r="E15" s="27"/>
      <c r="F15" s="27"/>
      <c r="G15" s="27"/>
      <c r="H15" s="27"/>
      <c r="I15" s="27"/>
      <c r="J15" s="27"/>
      <c r="K15" s="28"/>
    </row>
    <row r="16" spans="4:11" x14ac:dyDescent="0.15">
      <c r="D16" s="29"/>
      <c r="E16" s="30"/>
      <c r="F16" s="30"/>
      <c r="G16" s="30"/>
      <c r="H16" s="30"/>
      <c r="I16" s="30"/>
      <c r="J16" s="30"/>
      <c r="K16" s="31"/>
    </row>
    <row r="17" spans="4:14" x14ac:dyDescent="0.15">
      <c r="D17" s="29"/>
      <c r="E17" s="30"/>
      <c r="F17" s="30"/>
      <c r="G17" s="30"/>
      <c r="H17" s="30"/>
      <c r="I17" s="30"/>
      <c r="J17" s="30"/>
      <c r="K17" s="31"/>
    </row>
    <row r="18" spans="4:14" ht="14" thickBot="1" x14ac:dyDescent="0.2">
      <c r="D18" s="32"/>
      <c r="E18" s="33"/>
      <c r="F18" s="33"/>
      <c r="G18" s="33"/>
      <c r="H18" s="33"/>
      <c r="I18" s="33"/>
      <c r="J18" s="33"/>
      <c r="K18" s="34"/>
    </row>
    <row r="19" spans="4:14" ht="32" customHeight="1" thickBot="1" x14ac:dyDescent="0.2">
      <c r="D19" s="47" t="s">
        <v>71</v>
      </c>
      <c r="E19" s="25" t="s">
        <v>70</v>
      </c>
      <c r="F19" s="12" t="s">
        <v>69</v>
      </c>
      <c r="G19" s="11" t="s">
        <v>68</v>
      </c>
      <c r="H19" s="11" t="s">
        <v>67</v>
      </c>
      <c r="I19" s="11" t="s">
        <v>66</v>
      </c>
      <c r="J19" s="11" t="s">
        <v>65</v>
      </c>
      <c r="K19" s="10" t="s">
        <v>64</v>
      </c>
    </row>
    <row r="20" spans="4:14" x14ac:dyDescent="0.15">
      <c r="D20" s="48" t="s">
        <v>43</v>
      </c>
      <c r="E20" s="8" t="s">
        <v>63</v>
      </c>
      <c r="F20" s="8" t="s">
        <v>1</v>
      </c>
      <c r="G20" s="8">
        <v>10</v>
      </c>
      <c r="H20" s="24">
        <v>9</v>
      </c>
      <c r="I20" s="24">
        <f>Table3345[[#This Row],[Current Qty]]-Table3345[[#This Row],[Expected Qty]]</f>
        <v>-1</v>
      </c>
      <c r="J20" s="5" t="s">
        <v>0</v>
      </c>
      <c r="K20" s="9"/>
    </row>
    <row r="21" spans="4:14" x14ac:dyDescent="0.15">
      <c r="D21" s="48" t="s">
        <v>43</v>
      </c>
      <c r="E21" s="7" t="s">
        <v>62</v>
      </c>
      <c r="F21" s="8" t="s">
        <v>1</v>
      </c>
      <c r="G21" s="7">
        <v>10</v>
      </c>
      <c r="H21" s="6">
        <v>9</v>
      </c>
      <c r="I21" s="6">
        <f>Table3345[[#This Row],[Current Qty]]-Table3345[[#This Row],[Expected Qty]]</f>
        <v>-1</v>
      </c>
      <c r="J21" s="5" t="s">
        <v>0</v>
      </c>
      <c r="K21" s="4"/>
    </row>
    <row r="22" spans="4:14" x14ac:dyDescent="0.15">
      <c r="D22" s="48" t="s">
        <v>43</v>
      </c>
      <c r="E22" s="7" t="s">
        <v>61</v>
      </c>
      <c r="F22" s="8" t="s">
        <v>1</v>
      </c>
      <c r="G22" s="7">
        <v>5</v>
      </c>
      <c r="H22" s="6">
        <v>4</v>
      </c>
      <c r="I22" s="6">
        <f>Table3345[[#This Row],[Current Qty]]-Table3345[[#This Row],[Expected Qty]]</f>
        <v>-1</v>
      </c>
      <c r="J22" s="5" t="s">
        <v>0</v>
      </c>
      <c r="K22" s="4"/>
    </row>
    <row r="23" spans="4:14" x14ac:dyDescent="0.15">
      <c r="D23" s="48" t="s">
        <v>43</v>
      </c>
      <c r="E23" s="7" t="s">
        <v>60</v>
      </c>
      <c r="F23" s="8" t="s">
        <v>15</v>
      </c>
      <c r="G23" s="7">
        <v>275</v>
      </c>
      <c r="H23" s="6">
        <v>0</v>
      </c>
      <c r="I23" s="6">
        <f>Table3345[[#This Row],[Current Qty]]-Table3345[[#This Row],[Expected Qty]]</f>
        <v>-275</v>
      </c>
      <c r="J23" s="5" t="s">
        <v>0</v>
      </c>
      <c r="K23" s="4" t="s">
        <v>76</v>
      </c>
      <c r="M23" s="15" t="s">
        <v>77</v>
      </c>
      <c r="N23" t="s">
        <v>79</v>
      </c>
    </row>
    <row r="24" spans="4:14" x14ac:dyDescent="0.15">
      <c r="D24" s="48" t="s">
        <v>3</v>
      </c>
      <c r="E24" s="7" t="s">
        <v>59</v>
      </c>
      <c r="F24" s="8" t="s">
        <v>1</v>
      </c>
      <c r="G24" s="7">
        <v>25</v>
      </c>
      <c r="H24" s="6">
        <v>25</v>
      </c>
      <c r="I24" s="6">
        <f>Table3345[[#This Row],[Current Qty]]-Table3345[[#This Row],[Expected Qty]]</f>
        <v>0</v>
      </c>
      <c r="J24" s="5" t="s">
        <v>0</v>
      </c>
      <c r="K24" s="4"/>
      <c r="M24" s="16" t="s">
        <v>7</v>
      </c>
      <c r="N24" s="18">
        <v>293</v>
      </c>
    </row>
    <row r="25" spans="4:14" x14ac:dyDescent="0.15">
      <c r="D25" s="48" t="s">
        <v>3</v>
      </c>
      <c r="E25" s="7" t="s">
        <v>57</v>
      </c>
      <c r="F25" s="8" t="s">
        <v>17</v>
      </c>
      <c r="G25" s="7">
        <v>2</v>
      </c>
      <c r="H25" s="6">
        <v>2</v>
      </c>
      <c r="I25" s="6">
        <f>Table3345[[#This Row],[Current Qty]]-Table3345[[#This Row],[Expected Qty]]</f>
        <v>0</v>
      </c>
      <c r="J25" s="5" t="s">
        <v>0</v>
      </c>
      <c r="K25" s="4"/>
      <c r="M25" s="17" t="s">
        <v>33</v>
      </c>
      <c r="N25" s="18">
        <v>2</v>
      </c>
    </row>
    <row r="26" spans="4:14" x14ac:dyDescent="0.15">
      <c r="D26" s="48" t="s">
        <v>7</v>
      </c>
      <c r="E26" s="7" t="s">
        <v>56</v>
      </c>
      <c r="F26" s="8" t="s">
        <v>1</v>
      </c>
      <c r="G26" s="7">
        <v>175</v>
      </c>
      <c r="H26" s="6">
        <v>175</v>
      </c>
      <c r="I26" s="6">
        <f>Table3345[[#This Row],[Current Qty]]-Table3345[[#This Row],[Expected Qty]]</f>
        <v>0</v>
      </c>
      <c r="J26" s="5" t="s">
        <v>0</v>
      </c>
      <c r="K26" s="4"/>
      <c r="M26" s="17" t="s">
        <v>6</v>
      </c>
      <c r="N26" s="18">
        <v>1</v>
      </c>
    </row>
    <row r="27" spans="4:14" x14ac:dyDescent="0.15">
      <c r="D27" s="48" t="s">
        <v>3</v>
      </c>
      <c r="E27" s="7" t="s">
        <v>41</v>
      </c>
      <c r="F27" s="8" t="s">
        <v>1</v>
      </c>
      <c r="G27" s="7">
        <v>12</v>
      </c>
      <c r="H27" s="6">
        <v>12</v>
      </c>
      <c r="I27" s="6">
        <f>Table3345[[#This Row],[Current Qty]]-Table3345[[#This Row],[Expected Qty]]</f>
        <v>0</v>
      </c>
      <c r="J27" s="5" t="s">
        <v>0</v>
      </c>
      <c r="K27" s="4"/>
      <c r="M27" s="17" t="s">
        <v>13</v>
      </c>
      <c r="N27" s="18">
        <v>2</v>
      </c>
    </row>
    <row r="28" spans="4:14" x14ac:dyDescent="0.15">
      <c r="D28" s="48" t="s">
        <v>43</v>
      </c>
      <c r="E28" s="7" t="s">
        <v>55</v>
      </c>
      <c r="F28" s="8" t="s">
        <v>15</v>
      </c>
      <c r="G28" s="7">
        <v>12</v>
      </c>
      <c r="H28" s="6">
        <v>12</v>
      </c>
      <c r="I28" s="6">
        <f>Table3345[[#This Row],[Current Qty]]-Table3345[[#This Row],[Expected Qty]]</f>
        <v>0</v>
      </c>
      <c r="J28" s="5" t="s">
        <v>0</v>
      </c>
      <c r="K28" s="4"/>
      <c r="M28" s="17" t="s">
        <v>31</v>
      </c>
      <c r="N28" s="18">
        <v>8</v>
      </c>
    </row>
    <row r="29" spans="4:14" x14ac:dyDescent="0.15">
      <c r="D29" s="48" t="s">
        <v>43</v>
      </c>
      <c r="E29" s="7" t="s">
        <v>54</v>
      </c>
      <c r="F29" s="8" t="s">
        <v>15</v>
      </c>
      <c r="G29" s="7">
        <v>12</v>
      </c>
      <c r="H29" s="6">
        <v>12</v>
      </c>
      <c r="I29" s="6">
        <f>Table3345[[#This Row],[Current Qty]]-Table3345[[#This Row],[Expected Qty]]</f>
        <v>0</v>
      </c>
      <c r="J29" s="5" t="s">
        <v>0</v>
      </c>
      <c r="K29" s="4"/>
      <c r="M29" s="17" t="s">
        <v>12</v>
      </c>
      <c r="N29" s="18">
        <v>1</v>
      </c>
    </row>
    <row r="30" spans="4:14" x14ac:dyDescent="0.15">
      <c r="D30" s="48" t="s">
        <v>43</v>
      </c>
      <c r="E30" s="7" t="s">
        <v>52</v>
      </c>
      <c r="F30" s="8" t="s">
        <v>15</v>
      </c>
      <c r="G30" s="7">
        <v>12</v>
      </c>
      <c r="H30" s="6">
        <v>12</v>
      </c>
      <c r="I30" s="6">
        <f>Table3345[[#This Row],[Current Qty]]-Table3345[[#This Row],[Expected Qty]]</f>
        <v>0</v>
      </c>
      <c r="J30" s="5" t="s">
        <v>0</v>
      </c>
      <c r="K30" s="4"/>
      <c r="M30" s="17" t="s">
        <v>26</v>
      </c>
      <c r="N30" s="18">
        <v>36</v>
      </c>
    </row>
    <row r="31" spans="4:14" x14ac:dyDescent="0.15">
      <c r="D31" s="48" t="s">
        <v>43</v>
      </c>
      <c r="E31" s="7" t="s">
        <v>52</v>
      </c>
      <c r="F31" s="8" t="s">
        <v>5</v>
      </c>
      <c r="G31" s="7">
        <v>12</v>
      </c>
      <c r="H31" s="6">
        <v>12</v>
      </c>
      <c r="I31" s="6">
        <f>Table3345[[#This Row],[Current Qty]]-Table3345[[#This Row],[Expected Qty]]</f>
        <v>0</v>
      </c>
      <c r="J31" s="5" t="s">
        <v>0</v>
      </c>
      <c r="K31" s="4"/>
      <c r="M31" s="17" t="s">
        <v>30</v>
      </c>
      <c r="N31" s="18">
        <v>36</v>
      </c>
    </row>
    <row r="32" spans="4:14" x14ac:dyDescent="0.15">
      <c r="D32" s="48" t="s">
        <v>43</v>
      </c>
      <c r="E32" s="7" t="s">
        <v>50</v>
      </c>
      <c r="F32" s="8" t="s">
        <v>15</v>
      </c>
      <c r="G32" s="7">
        <v>24</v>
      </c>
      <c r="H32" s="6">
        <v>24</v>
      </c>
      <c r="I32" s="6">
        <f>Table3345[[#This Row],[Current Qty]]-Table3345[[#This Row],[Expected Qty]]</f>
        <v>0</v>
      </c>
      <c r="J32" s="5" t="s">
        <v>0</v>
      </c>
      <c r="K32" s="4"/>
      <c r="M32" s="17" t="s">
        <v>56</v>
      </c>
      <c r="N32" s="18">
        <v>175</v>
      </c>
    </row>
    <row r="33" spans="4:14" x14ac:dyDescent="0.15">
      <c r="D33" s="48" t="s">
        <v>43</v>
      </c>
      <c r="E33" s="7" t="s">
        <v>49</v>
      </c>
      <c r="F33" s="8" t="s">
        <v>5</v>
      </c>
      <c r="G33" s="7">
        <v>12</v>
      </c>
      <c r="H33" s="13">
        <v>8</v>
      </c>
      <c r="I33" s="6">
        <f>Table3345[[#This Row],[Current Qty]]-Table3345[[#This Row],[Expected Qty]]</f>
        <v>-4</v>
      </c>
      <c r="J33" s="5" t="s">
        <v>0</v>
      </c>
      <c r="K33" s="4" t="s">
        <v>75</v>
      </c>
      <c r="M33" s="17" t="s">
        <v>10</v>
      </c>
      <c r="N33" s="18">
        <v>5</v>
      </c>
    </row>
    <row r="34" spans="4:14" x14ac:dyDescent="0.15">
      <c r="D34" s="48" t="s">
        <v>43</v>
      </c>
      <c r="E34" s="7" t="s">
        <v>48</v>
      </c>
      <c r="F34" s="8" t="s">
        <v>15</v>
      </c>
      <c r="G34" s="7">
        <v>12</v>
      </c>
      <c r="H34" s="6">
        <v>12</v>
      </c>
      <c r="I34" s="6">
        <f>Table3345[[#This Row],[Current Qty]]-Table3345[[#This Row],[Expected Qty]]</f>
        <v>0</v>
      </c>
      <c r="J34" s="5" t="s">
        <v>0</v>
      </c>
      <c r="K34" s="4"/>
      <c r="M34" s="17" t="s">
        <v>29</v>
      </c>
      <c r="N34" s="18">
        <v>24</v>
      </c>
    </row>
    <row r="35" spans="4:14" x14ac:dyDescent="0.15">
      <c r="D35" s="48" t="s">
        <v>43</v>
      </c>
      <c r="E35" s="7" t="s">
        <v>47</v>
      </c>
      <c r="F35" s="8" t="s">
        <v>17</v>
      </c>
      <c r="G35" s="7">
        <v>17</v>
      </c>
      <c r="H35" s="6">
        <v>17</v>
      </c>
      <c r="I35" s="6">
        <f>Table3345[[#This Row],[Current Qty]]-Table3345[[#This Row],[Expected Qty]]</f>
        <v>0</v>
      </c>
      <c r="J35" s="5" t="s">
        <v>0</v>
      </c>
      <c r="K35" s="4"/>
      <c r="M35" s="17" t="s">
        <v>11</v>
      </c>
      <c r="N35" s="18">
        <v>1</v>
      </c>
    </row>
    <row r="36" spans="4:14" x14ac:dyDescent="0.15">
      <c r="D36" s="48" t="s">
        <v>43</v>
      </c>
      <c r="E36" s="7" t="s">
        <v>46</v>
      </c>
      <c r="F36" s="8" t="s">
        <v>1</v>
      </c>
      <c r="G36" s="7">
        <v>22</v>
      </c>
      <c r="H36" s="6">
        <v>19</v>
      </c>
      <c r="I36" s="6">
        <f>Table3345[[#This Row],[Current Qty]]-Table3345[[#This Row],[Expected Qty]]</f>
        <v>-3</v>
      </c>
      <c r="J36" s="5" t="s">
        <v>0</v>
      </c>
      <c r="K36" s="4"/>
      <c r="M36" s="17" t="s">
        <v>32</v>
      </c>
      <c r="N36" s="18">
        <v>2</v>
      </c>
    </row>
    <row r="37" spans="4:14" x14ac:dyDescent="0.15">
      <c r="D37" s="48" t="s">
        <v>43</v>
      </c>
      <c r="E37" s="7" t="s">
        <v>45</v>
      </c>
      <c r="F37" s="8" t="s">
        <v>1</v>
      </c>
      <c r="G37" s="7">
        <v>11</v>
      </c>
      <c r="H37" s="6">
        <v>10</v>
      </c>
      <c r="I37" s="6">
        <f>Table3345[[#This Row],[Current Qty]]-Table3345[[#This Row],[Expected Qty]]</f>
        <v>-1</v>
      </c>
      <c r="J37" s="5" t="s">
        <v>0</v>
      </c>
      <c r="K37" s="4"/>
      <c r="M37" s="16" t="s">
        <v>3</v>
      </c>
      <c r="N37" s="18">
        <v>285</v>
      </c>
    </row>
    <row r="38" spans="4:14" x14ac:dyDescent="0.15">
      <c r="D38" s="48" t="s">
        <v>43</v>
      </c>
      <c r="E38" s="7" t="s">
        <v>44</v>
      </c>
      <c r="F38" s="8" t="s">
        <v>1</v>
      </c>
      <c r="G38" s="7">
        <v>12</v>
      </c>
      <c r="H38" s="6">
        <v>11</v>
      </c>
      <c r="I38" s="6">
        <f>Table3345[[#This Row],[Current Qty]]-Table3345[[#This Row],[Expected Qty]]</f>
        <v>-1</v>
      </c>
      <c r="J38" s="5" t="s">
        <v>0</v>
      </c>
      <c r="K38" s="4"/>
      <c r="M38" s="17" t="s">
        <v>22</v>
      </c>
      <c r="N38" s="18">
        <v>12</v>
      </c>
    </row>
    <row r="39" spans="4:14" x14ac:dyDescent="0.15">
      <c r="D39" s="48" t="s">
        <v>43</v>
      </c>
      <c r="E39" s="7" t="s">
        <v>42</v>
      </c>
      <c r="F39" s="8" t="s">
        <v>1</v>
      </c>
      <c r="G39" s="7">
        <v>24</v>
      </c>
      <c r="H39" s="6">
        <v>24</v>
      </c>
      <c r="I39" s="6">
        <f>Table3345[[#This Row],[Current Qty]]-Table3345[[#This Row],[Expected Qty]]</f>
        <v>0</v>
      </c>
      <c r="J39" s="5" t="s">
        <v>0</v>
      </c>
      <c r="K39" s="4"/>
      <c r="M39" s="17" t="s">
        <v>23</v>
      </c>
      <c r="N39" s="18">
        <v>14</v>
      </c>
    </row>
    <row r="40" spans="4:14" x14ac:dyDescent="0.15">
      <c r="D40" s="48" t="s">
        <v>3</v>
      </c>
      <c r="E40" s="7" t="s">
        <v>41</v>
      </c>
      <c r="F40" s="8" t="s">
        <v>5</v>
      </c>
      <c r="G40" s="7">
        <v>10</v>
      </c>
      <c r="H40" s="6">
        <v>11</v>
      </c>
      <c r="I40" s="6">
        <f>Table3345[[#This Row],[Current Qty]]-Table3345[[#This Row],[Expected Qty]]</f>
        <v>1</v>
      </c>
      <c r="J40" s="5" t="s">
        <v>0</v>
      </c>
      <c r="K40" s="4"/>
      <c r="M40" s="17" t="s">
        <v>24</v>
      </c>
      <c r="N40" s="18">
        <v>14</v>
      </c>
    </row>
    <row r="41" spans="4:14" x14ac:dyDescent="0.15">
      <c r="D41" s="48" t="s">
        <v>3</v>
      </c>
      <c r="E41" s="7" t="s">
        <v>41</v>
      </c>
      <c r="F41" s="8" t="s">
        <v>15</v>
      </c>
      <c r="G41" s="7">
        <v>11</v>
      </c>
      <c r="H41" s="6">
        <v>12</v>
      </c>
      <c r="I41" s="6">
        <f>Table3345[[#This Row],[Current Qty]]-Table3345[[#This Row],[Expected Qty]]</f>
        <v>1</v>
      </c>
      <c r="J41" s="5" t="s">
        <v>0</v>
      </c>
      <c r="K41" s="4"/>
      <c r="M41" s="17" t="s">
        <v>25</v>
      </c>
      <c r="N41" s="18">
        <v>14</v>
      </c>
    </row>
    <row r="42" spans="4:14" x14ac:dyDescent="0.15">
      <c r="D42" s="48" t="s">
        <v>3</v>
      </c>
      <c r="E42" s="7" t="s">
        <v>40</v>
      </c>
      <c r="F42" s="8" t="s">
        <v>15</v>
      </c>
      <c r="G42" s="7">
        <v>12</v>
      </c>
      <c r="H42" s="6">
        <v>12</v>
      </c>
      <c r="I42" s="6">
        <f>Table3345[[#This Row],[Current Qty]]-Table3345[[#This Row],[Expected Qty]]</f>
        <v>0</v>
      </c>
      <c r="J42" s="5" t="s">
        <v>0</v>
      </c>
      <c r="K42" s="4"/>
      <c r="M42" s="17" t="s">
        <v>2</v>
      </c>
      <c r="N42" s="18">
        <v>3</v>
      </c>
    </row>
    <row r="43" spans="4:14" x14ac:dyDescent="0.15">
      <c r="D43" s="48" t="s">
        <v>3</v>
      </c>
      <c r="E43" s="7" t="s">
        <v>39</v>
      </c>
      <c r="F43" s="8" t="s">
        <v>5</v>
      </c>
      <c r="G43" s="7">
        <v>12</v>
      </c>
      <c r="H43" s="6">
        <v>12</v>
      </c>
      <c r="I43" s="6">
        <f>Table3345[[#This Row],[Current Qty]]-Table3345[[#This Row],[Expected Qty]]</f>
        <v>0</v>
      </c>
      <c r="J43" s="5" t="s">
        <v>0</v>
      </c>
      <c r="K43" s="4"/>
      <c r="M43" s="17" t="s">
        <v>59</v>
      </c>
      <c r="N43" s="18">
        <v>25</v>
      </c>
    </row>
    <row r="44" spans="4:14" x14ac:dyDescent="0.15">
      <c r="D44" s="48" t="s">
        <v>3</v>
      </c>
      <c r="E44" s="7" t="s">
        <v>38</v>
      </c>
      <c r="F44" s="8" t="s">
        <v>5</v>
      </c>
      <c r="G44" s="7">
        <v>3</v>
      </c>
      <c r="H44" s="6">
        <v>3</v>
      </c>
      <c r="I44" s="6">
        <f>Table3345[[#This Row],[Current Qty]]-Table3345[[#This Row],[Expected Qty]]</f>
        <v>0</v>
      </c>
      <c r="J44" s="5" t="s">
        <v>0</v>
      </c>
      <c r="K44" s="4"/>
      <c r="M44" s="17" t="s">
        <v>28</v>
      </c>
      <c r="N44" s="18">
        <v>12</v>
      </c>
    </row>
    <row r="45" spans="4:14" x14ac:dyDescent="0.15">
      <c r="D45" s="48" t="s">
        <v>3</v>
      </c>
      <c r="E45" s="7" t="s">
        <v>38</v>
      </c>
      <c r="F45" s="8" t="s">
        <v>15</v>
      </c>
      <c r="G45" s="7">
        <v>16</v>
      </c>
      <c r="H45" s="6">
        <v>14</v>
      </c>
      <c r="I45" s="6">
        <f>Table3345[[#This Row],[Current Qty]]-Table3345[[#This Row],[Expected Qty]]</f>
        <v>-2</v>
      </c>
      <c r="J45" s="5" t="s">
        <v>0</v>
      </c>
      <c r="K45" s="4"/>
      <c r="M45" s="17" t="s">
        <v>18</v>
      </c>
      <c r="N45" s="18">
        <v>10</v>
      </c>
    </row>
    <row r="46" spans="4:14" x14ac:dyDescent="0.15">
      <c r="D46" s="48" t="s">
        <v>3</v>
      </c>
      <c r="E46" s="7" t="s">
        <v>37</v>
      </c>
      <c r="F46" s="8" t="s">
        <v>1</v>
      </c>
      <c r="G46" s="7">
        <v>10</v>
      </c>
      <c r="H46" s="6">
        <v>10</v>
      </c>
      <c r="I46" s="6">
        <f>Table3345[[#This Row],[Current Qty]]-Table3345[[#This Row],[Expected Qty]]</f>
        <v>0</v>
      </c>
      <c r="J46" s="5" t="s">
        <v>0</v>
      </c>
      <c r="K46" s="4"/>
      <c r="M46" s="17" t="s">
        <v>19</v>
      </c>
      <c r="N46" s="18">
        <v>12</v>
      </c>
    </row>
    <row r="47" spans="4:14" x14ac:dyDescent="0.15">
      <c r="D47" s="48" t="s">
        <v>3</v>
      </c>
      <c r="E47" s="7" t="s">
        <v>36</v>
      </c>
      <c r="F47" s="8" t="s">
        <v>1</v>
      </c>
      <c r="G47" s="7">
        <v>8</v>
      </c>
      <c r="H47" s="6">
        <v>8</v>
      </c>
      <c r="I47" s="6">
        <f>Table3345[[#This Row],[Current Qty]]-Table3345[[#This Row],[Expected Qty]]</f>
        <v>0</v>
      </c>
      <c r="J47" s="5" t="s">
        <v>0</v>
      </c>
      <c r="K47" s="4"/>
      <c r="M47" s="17" t="s">
        <v>16</v>
      </c>
      <c r="N47" s="18">
        <v>12</v>
      </c>
    </row>
    <row r="48" spans="4:14" x14ac:dyDescent="0.15">
      <c r="D48" s="48" t="s">
        <v>3</v>
      </c>
      <c r="E48" s="7" t="s">
        <v>35</v>
      </c>
      <c r="F48" s="8" t="s">
        <v>1</v>
      </c>
      <c r="G48" s="7">
        <v>2</v>
      </c>
      <c r="H48" s="6">
        <v>2</v>
      </c>
      <c r="I48" s="6">
        <f>Table3345[[#This Row],[Current Qty]]-Table3345[[#This Row],[Expected Qty]]</f>
        <v>0</v>
      </c>
      <c r="J48" s="5" t="s">
        <v>0</v>
      </c>
      <c r="K48" s="4"/>
      <c r="M48" s="17" t="s">
        <v>35</v>
      </c>
      <c r="N48" s="18">
        <v>2</v>
      </c>
    </row>
    <row r="49" spans="4:14" x14ac:dyDescent="0.15">
      <c r="D49" s="48" t="s">
        <v>3</v>
      </c>
      <c r="E49" s="7" t="s">
        <v>34</v>
      </c>
      <c r="F49" s="8" t="s">
        <v>1</v>
      </c>
      <c r="G49" s="7">
        <v>3</v>
      </c>
      <c r="H49" s="6">
        <v>3</v>
      </c>
      <c r="I49" s="6">
        <f>Table3345[[#This Row],[Current Qty]]-Table3345[[#This Row],[Expected Qty]]</f>
        <v>0</v>
      </c>
      <c r="J49" s="5" t="s">
        <v>0</v>
      </c>
      <c r="K49" s="4"/>
      <c r="M49" s="17" t="s">
        <v>36</v>
      </c>
      <c r="N49" s="18">
        <v>8</v>
      </c>
    </row>
    <row r="50" spans="4:14" x14ac:dyDescent="0.15">
      <c r="D50" s="48" t="s">
        <v>7</v>
      </c>
      <c r="E50" s="7" t="s">
        <v>33</v>
      </c>
      <c r="F50" s="8" t="s">
        <v>5</v>
      </c>
      <c r="G50" s="7">
        <v>2</v>
      </c>
      <c r="H50" s="6">
        <v>2</v>
      </c>
      <c r="I50" s="6">
        <f>Table3345[[#This Row],[Current Qty]]-Table3345[[#This Row],[Expected Qty]]</f>
        <v>0</v>
      </c>
      <c r="J50" s="5" t="s">
        <v>0</v>
      </c>
      <c r="K50" s="4"/>
      <c r="M50" s="17" t="s">
        <v>57</v>
      </c>
      <c r="N50" s="18">
        <v>2</v>
      </c>
    </row>
    <row r="51" spans="4:14" x14ac:dyDescent="0.15">
      <c r="D51" s="48" t="s">
        <v>7</v>
      </c>
      <c r="E51" s="7" t="s">
        <v>32</v>
      </c>
      <c r="F51" s="8" t="s">
        <v>5</v>
      </c>
      <c r="G51" s="7">
        <v>2</v>
      </c>
      <c r="H51" s="6">
        <v>2</v>
      </c>
      <c r="I51" s="6">
        <f>Table3345[[#This Row],[Current Qty]]-Table3345[[#This Row],[Expected Qty]]</f>
        <v>0</v>
      </c>
      <c r="J51" s="5" t="s">
        <v>0</v>
      </c>
      <c r="K51" s="4"/>
      <c r="M51" s="17" t="s">
        <v>9</v>
      </c>
      <c r="N51" s="18">
        <v>1</v>
      </c>
    </row>
    <row r="52" spans="4:14" x14ac:dyDescent="0.15">
      <c r="D52" s="48" t="s">
        <v>7</v>
      </c>
      <c r="E52" s="7" t="s">
        <v>31</v>
      </c>
      <c r="F52" s="8" t="s">
        <v>5</v>
      </c>
      <c r="G52" s="7">
        <v>8</v>
      </c>
      <c r="H52" s="6">
        <v>8</v>
      </c>
      <c r="I52" s="6">
        <f>Table3345[[#This Row],[Current Qty]]-Table3345[[#This Row],[Expected Qty]]</f>
        <v>0</v>
      </c>
      <c r="J52" s="5" t="s">
        <v>0</v>
      </c>
      <c r="K52" s="4"/>
      <c r="M52" s="17" t="s">
        <v>34</v>
      </c>
      <c r="N52" s="18">
        <v>3</v>
      </c>
    </row>
    <row r="53" spans="4:14" x14ac:dyDescent="0.15">
      <c r="D53" s="48" t="s">
        <v>7</v>
      </c>
      <c r="E53" s="7" t="s">
        <v>30</v>
      </c>
      <c r="F53" s="8" t="s">
        <v>5</v>
      </c>
      <c r="G53" s="7">
        <v>12</v>
      </c>
      <c r="H53" s="6">
        <v>12</v>
      </c>
      <c r="I53" s="6">
        <f>Table3345[[#This Row],[Current Qty]]-Table3345[[#This Row],[Expected Qty]]</f>
        <v>0</v>
      </c>
      <c r="J53" s="5" t="s">
        <v>0</v>
      </c>
      <c r="K53" s="4"/>
      <c r="M53" s="17" t="s">
        <v>27</v>
      </c>
      <c r="N53" s="18">
        <v>11</v>
      </c>
    </row>
    <row r="54" spans="4:14" x14ac:dyDescent="0.15">
      <c r="D54" s="48" t="s">
        <v>7</v>
      </c>
      <c r="E54" s="7" t="s">
        <v>30</v>
      </c>
      <c r="F54" s="8" t="s">
        <v>17</v>
      </c>
      <c r="G54" s="7">
        <v>12</v>
      </c>
      <c r="H54" s="6">
        <v>12</v>
      </c>
      <c r="I54" s="6">
        <f>Table3345[[#This Row],[Current Qty]]-Table3345[[#This Row],[Expected Qty]]</f>
        <v>0</v>
      </c>
      <c r="J54" s="5" t="s">
        <v>0</v>
      </c>
      <c r="K54" s="4"/>
      <c r="M54" s="17" t="s">
        <v>41</v>
      </c>
      <c r="N54" s="18">
        <v>35</v>
      </c>
    </row>
    <row r="55" spans="4:14" x14ac:dyDescent="0.15">
      <c r="D55" s="48" t="s">
        <v>7</v>
      </c>
      <c r="E55" s="7" t="s">
        <v>30</v>
      </c>
      <c r="F55" s="8" t="s">
        <v>15</v>
      </c>
      <c r="G55" s="7">
        <v>12</v>
      </c>
      <c r="H55" s="6">
        <v>12</v>
      </c>
      <c r="I55" s="6">
        <f>Table3345[[#This Row],[Current Qty]]-Table3345[[#This Row],[Expected Qty]]</f>
        <v>0</v>
      </c>
      <c r="J55" s="5" t="s">
        <v>0</v>
      </c>
      <c r="K55" s="4"/>
      <c r="M55" s="17" t="s">
        <v>37</v>
      </c>
      <c r="N55" s="18">
        <v>10</v>
      </c>
    </row>
    <row r="56" spans="4:14" x14ac:dyDescent="0.15">
      <c r="D56" s="48" t="s">
        <v>7</v>
      </c>
      <c r="E56" s="7" t="s">
        <v>29</v>
      </c>
      <c r="F56" s="8" t="s">
        <v>17</v>
      </c>
      <c r="G56" s="7">
        <v>12</v>
      </c>
      <c r="H56" s="6">
        <v>12</v>
      </c>
      <c r="I56" s="6">
        <f>Table3345[[#This Row],[Current Qty]]-Table3345[[#This Row],[Expected Qty]]</f>
        <v>0</v>
      </c>
      <c r="J56" s="5" t="s">
        <v>0</v>
      </c>
      <c r="K56" s="4"/>
      <c r="M56" s="17" t="s">
        <v>21</v>
      </c>
      <c r="N56" s="18">
        <v>13</v>
      </c>
    </row>
    <row r="57" spans="4:14" x14ac:dyDescent="0.15">
      <c r="D57" s="48" t="s">
        <v>7</v>
      </c>
      <c r="E57" s="7" t="s">
        <v>29</v>
      </c>
      <c r="F57" s="8" t="s">
        <v>15</v>
      </c>
      <c r="G57" s="7">
        <v>12</v>
      </c>
      <c r="H57" s="6">
        <v>12</v>
      </c>
      <c r="I57" s="6">
        <f>Table3345[[#This Row],[Current Qty]]-Table3345[[#This Row],[Expected Qty]]</f>
        <v>0</v>
      </c>
      <c r="J57" s="5" t="s">
        <v>0</v>
      </c>
      <c r="K57" s="4"/>
      <c r="M57" s="17" t="s">
        <v>20</v>
      </c>
      <c r="N57" s="18">
        <v>6</v>
      </c>
    </row>
    <row r="58" spans="4:14" x14ac:dyDescent="0.15">
      <c r="D58" s="48" t="s">
        <v>3</v>
      </c>
      <c r="E58" s="7" t="s">
        <v>28</v>
      </c>
      <c r="F58" s="8" t="s">
        <v>1</v>
      </c>
      <c r="G58" s="7">
        <v>12</v>
      </c>
      <c r="H58" s="6">
        <v>12</v>
      </c>
      <c r="I58" s="6">
        <f>Table3345[[#This Row],[Current Qty]]-Table3345[[#This Row],[Expected Qty]]</f>
        <v>0</v>
      </c>
      <c r="J58" s="5" t="s">
        <v>0</v>
      </c>
      <c r="K58" s="4"/>
      <c r="M58" s="17" t="s">
        <v>4</v>
      </c>
      <c r="N58" s="18">
        <v>1</v>
      </c>
    </row>
    <row r="59" spans="4:14" x14ac:dyDescent="0.15">
      <c r="D59" s="48" t="s">
        <v>3</v>
      </c>
      <c r="E59" s="7" t="s">
        <v>27</v>
      </c>
      <c r="F59" s="8" t="s">
        <v>1</v>
      </c>
      <c r="G59" s="7">
        <v>11</v>
      </c>
      <c r="H59" s="6">
        <v>11</v>
      </c>
      <c r="I59" s="6">
        <f>Table3345[[#This Row],[Current Qty]]-Table3345[[#This Row],[Expected Qty]]</f>
        <v>0</v>
      </c>
      <c r="J59" s="5" t="s">
        <v>0</v>
      </c>
      <c r="K59" s="4"/>
      <c r="M59" s="17" t="s">
        <v>39</v>
      </c>
      <c r="N59" s="18">
        <v>12</v>
      </c>
    </row>
    <row r="60" spans="4:14" x14ac:dyDescent="0.15">
      <c r="D60" s="48" t="s">
        <v>7</v>
      </c>
      <c r="E60" s="7" t="s">
        <v>26</v>
      </c>
      <c r="F60" s="8" t="s">
        <v>5</v>
      </c>
      <c r="G60" s="7">
        <v>12</v>
      </c>
      <c r="H60" s="6">
        <v>12</v>
      </c>
      <c r="I60" s="6">
        <f>Table3345[[#This Row],[Current Qty]]-Table3345[[#This Row],[Expected Qty]]</f>
        <v>0</v>
      </c>
      <c r="J60" s="5" t="s">
        <v>0</v>
      </c>
      <c r="K60" s="4"/>
      <c r="M60" s="17" t="s">
        <v>40</v>
      </c>
      <c r="N60" s="18">
        <v>12</v>
      </c>
    </row>
    <row r="61" spans="4:14" x14ac:dyDescent="0.15">
      <c r="D61" s="48" t="s">
        <v>7</v>
      </c>
      <c r="E61" s="7" t="s">
        <v>26</v>
      </c>
      <c r="F61" s="8" t="s">
        <v>17</v>
      </c>
      <c r="G61" s="7">
        <v>12</v>
      </c>
      <c r="H61" s="6">
        <v>12</v>
      </c>
      <c r="I61" s="6">
        <f>Table3345[[#This Row],[Current Qty]]-Table3345[[#This Row],[Expected Qty]]</f>
        <v>0</v>
      </c>
      <c r="J61" s="5" t="s">
        <v>0</v>
      </c>
      <c r="K61" s="4"/>
      <c r="M61" s="17" t="s">
        <v>8</v>
      </c>
      <c r="N61" s="18">
        <v>12</v>
      </c>
    </row>
    <row r="62" spans="4:14" x14ac:dyDescent="0.15">
      <c r="D62" s="48" t="s">
        <v>7</v>
      </c>
      <c r="E62" s="7" t="s">
        <v>26</v>
      </c>
      <c r="F62" s="8" t="s">
        <v>15</v>
      </c>
      <c r="G62" s="7">
        <v>12</v>
      </c>
      <c r="H62" s="6">
        <v>12</v>
      </c>
      <c r="I62" s="6">
        <f>Table3345[[#This Row],[Current Qty]]-Table3345[[#This Row],[Expected Qty]]</f>
        <v>0</v>
      </c>
      <c r="J62" s="5" t="s">
        <v>0</v>
      </c>
      <c r="K62" s="4"/>
      <c r="M62" s="17" t="s">
        <v>38</v>
      </c>
      <c r="N62" s="18">
        <v>17</v>
      </c>
    </row>
    <row r="63" spans="4:14" x14ac:dyDescent="0.15">
      <c r="D63" s="48" t="s">
        <v>3</v>
      </c>
      <c r="E63" s="7" t="s">
        <v>25</v>
      </c>
      <c r="F63" s="8" t="s">
        <v>1</v>
      </c>
      <c r="G63" s="7">
        <v>14</v>
      </c>
      <c r="H63" s="6">
        <v>14</v>
      </c>
      <c r="I63" s="6">
        <f>Table3345[[#This Row],[Current Qty]]-Table3345[[#This Row],[Expected Qty]]</f>
        <v>0</v>
      </c>
      <c r="J63" s="5" t="s">
        <v>0</v>
      </c>
      <c r="K63" s="4"/>
      <c r="M63" s="17" t="s">
        <v>14</v>
      </c>
      <c r="N63" s="18">
        <v>12</v>
      </c>
    </row>
    <row r="64" spans="4:14" x14ac:dyDescent="0.15">
      <c r="D64" s="48" t="s">
        <v>3</v>
      </c>
      <c r="E64" s="7" t="s">
        <v>24</v>
      </c>
      <c r="F64" s="8" t="s">
        <v>1</v>
      </c>
      <c r="G64" s="7">
        <v>14</v>
      </c>
      <c r="H64" s="6">
        <v>14</v>
      </c>
      <c r="I64" s="6">
        <f>Table3345[[#This Row],[Current Qty]]-Table3345[[#This Row],[Expected Qty]]</f>
        <v>0</v>
      </c>
      <c r="J64" s="5" t="s">
        <v>0</v>
      </c>
      <c r="K64" s="4"/>
      <c r="M64" s="16" t="s">
        <v>43</v>
      </c>
      <c r="N64" s="18">
        <v>195</v>
      </c>
    </row>
    <row r="65" spans="4:14" x14ac:dyDescent="0.15">
      <c r="D65" s="48" t="s">
        <v>3</v>
      </c>
      <c r="E65" s="7" t="s">
        <v>23</v>
      </c>
      <c r="F65" s="8" t="s">
        <v>1</v>
      </c>
      <c r="G65" s="7">
        <v>14</v>
      </c>
      <c r="H65" s="6">
        <v>14</v>
      </c>
      <c r="I65" s="6">
        <f>Table3345[[#This Row],[Current Qty]]-Table3345[[#This Row],[Expected Qty]]</f>
        <v>0</v>
      </c>
      <c r="J65" s="5" t="s">
        <v>0</v>
      </c>
      <c r="K65" s="4"/>
      <c r="M65" s="17" t="s">
        <v>63</v>
      </c>
      <c r="N65" s="18">
        <v>9</v>
      </c>
    </row>
    <row r="66" spans="4:14" x14ac:dyDescent="0.15">
      <c r="D66" s="48" t="s">
        <v>3</v>
      </c>
      <c r="E66" s="7" t="s">
        <v>22</v>
      </c>
      <c r="F66" s="8" t="s">
        <v>1</v>
      </c>
      <c r="G66" s="7">
        <v>12</v>
      </c>
      <c r="H66" s="6">
        <v>12</v>
      </c>
      <c r="I66" s="6">
        <f>Table3345[[#This Row],[Current Qty]]-Table3345[[#This Row],[Expected Qty]]</f>
        <v>0</v>
      </c>
      <c r="J66" s="5" t="s">
        <v>0</v>
      </c>
      <c r="K66" s="4"/>
      <c r="M66" s="17" t="s">
        <v>55</v>
      </c>
      <c r="N66" s="18">
        <v>12</v>
      </c>
    </row>
    <row r="67" spans="4:14" x14ac:dyDescent="0.15">
      <c r="D67" s="48" t="s">
        <v>3</v>
      </c>
      <c r="E67" s="7" t="s">
        <v>21</v>
      </c>
      <c r="F67" s="8" t="s">
        <v>1</v>
      </c>
      <c r="G67" s="7">
        <v>12</v>
      </c>
      <c r="H67" s="6">
        <v>13</v>
      </c>
      <c r="I67" s="6">
        <f>Table3345[[#This Row],[Current Qty]]-Table3345[[#This Row],[Expected Qty]]</f>
        <v>1</v>
      </c>
      <c r="J67" s="5" t="s">
        <v>0</v>
      </c>
      <c r="K67" s="4"/>
      <c r="M67" s="17" t="s">
        <v>44</v>
      </c>
      <c r="N67" s="18">
        <v>11</v>
      </c>
    </row>
    <row r="68" spans="4:14" x14ac:dyDescent="0.15">
      <c r="D68" s="48" t="s">
        <v>3</v>
      </c>
      <c r="E68" s="7" t="s">
        <v>20</v>
      </c>
      <c r="F68" s="8" t="s">
        <v>1</v>
      </c>
      <c r="G68" s="7">
        <v>6</v>
      </c>
      <c r="H68" s="14">
        <v>6</v>
      </c>
      <c r="I68" s="6">
        <f>Table3345[[#This Row],[Current Qty]]-Table3345[[#This Row],[Expected Qty]]</f>
        <v>0</v>
      </c>
      <c r="J68" s="5" t="s">
        <v>0</v>
      </c>
      <c r="K68" s="4"/>
      <c r="M68" s="17" t="s">
        <v>48</v>
      </c>
      <c r="N68" s="18">
        <v>12</v>
      </c>
    </row>
    <row r="69" spans="4:14" x14ac:dyDescent="0.15">
      <c r="D69" s="48" t="s">
        <v>3</v>
      </c>
      <c r="E69" s="7" t="s">
        <v>19</v>
      </c>
      <c r="F69" s="8" t="s">
        <v>17</v>
      </c>
      <c r="G69" s="7">
        <v>12</v>
      </c>
      <c r="H69" s="6">
        <v>12</v>
      </c>
      <c r="I69" s="6">
        <f>Table3345[[#This Row],[Current Qty]]-Table3345[[#This Row],[Expected Qty]]</f>
        <v>0</v>
      </c>
      <c r="J69" s="5" t="s">
        <v>0</v>
      </c>
      <c r="K69" s="4"/>
      <c r="M69" s="17" t="s">
        <v>54</v>
      </c>
      <c r="N69" s="18">
        <v>12</v>
      </c>
    </row>
    <row r="70" spans="4:14" x14ac:dyDescent="0.15">
      <c r="D70" s="48" t="s">
        <v>3</v>
      </c>
      <c r="E70" s="7" t="s">
        <v>18</v>
      </c>
      <c r="F70" s="8" t="s">
        <v>17</v>
      </c>
      <c r="G70" s="7">
        <v>10</v>
      </c>
      <c r="H70" s="6">
        <v>10</v>
      </c>
      <c r="I70" s="6">
        <f>Table3345[[#This Row],[Current Qty]]-Table3345[[#This Row],[Expected Qty]]</f>
        <v>0</v>
      </c>
      <c r="J70" s="5" t="s">
        <v>0</v>
      </c>
      <c r="K70" s="4"/>
      <c r="M70" s="17" t="s">
        <v>46</v>
      </c>
      <c r="N70" s="18">
        <v>19</v>
      </c>
    </row>
    <row r="71" spans="4:14" x14ac:dyDescent="0.15">
      <c r="D71" s="48" t="s">
        <v>3</v>
      </c>
      <c r="E71" s="7" t="s">
        <v>16</v>
      </c>
      <c r="F71" s="8" t="s">
        <v>15</v>
      </c>
      <c r="G71" s="7">
        <v>12</v>
      </c>
      <c r="H71" s="6">
        <v>12</v>
      </c>
      <c r="I71" s="6">
        <f>Table3345[[#This Row],[Current Qty]]-Table3345[[#This Row],[Expected Qty]]</f>
        <v>0</v>
      </c>
      <c r="J71" s="5" t="s">
        <v>0</v>
      </c>
      <c r="K71" s="4"/>
      <c r="M71" s="17" t="s">
        <v>50</v>
      </c>
      <c r="N71" s="18">
        <v>24</v>
      </c>
    </row>
    <row r="72" spans="4:14" x14ac:dyDescent="0.15">
      <c r="D72" s="48" t="s">
        <v>3</v>
      </c>
      <c r="E72" s="7" t="s">
        <v>14</v>
      </c>
      <c r="F72" s="8" t="s">
        <v>1</v>
      </c>
      <c r="G72" s="7">
        <v>12</v>
      </c>
      <c r="H72" s="6">
        <v>12</v>
      </c>
      <c r="I72" s="6">
        <f>Table3345[[#This Row],[Current Qty]]-Table3345[[#This Row],[Expected Qty]]</f>
        <v>0</v>
      </c>
      <c r="J72" s="5" t="s">
        <v>0</v>
      </c>
      <c r="K72" s="4"/>
      <c r="M72" s="17" t="s">
        <v>52</v>
      </c>
      <c r="N72" s="18">
        <v>24</v>
      </c>
    </row>
    <row r="73" spans="4:14" x14ac:dyDescent="0.15">
      <c r="D73" s="48" t="s">
        <v>7</v>
      </c>
      <c r="E73" s="7" t="s">
        <v>13</v>
      </c>
      <c r="F73" s="8" t="s">
        <v>5</v>
      </c>
      <c r="G73" s="7">
        <v>2</v>
      </c>
      <c r="H73" s="6">
        <v>2</v>
      </c>
      <c r="I73" s="6">
        <f>Table3345[[#This Row],[Current Qty]]-Table3345[[#This Row],[Expected Qty]]</f>
        <v>0</v>
      </c>
      <c r="J73" s="5" t="s">
        <v>0</v>
      </c>
      <c r="K73" s="4"/>
      <c r="M73" s="17" t="s">
        <v>45</v>
      </c>
      <c r="N73" s="18">
        <v>10</v>
      </c>
    </row>
    <row r="74" spans="4:14" x14ac:dyDescent="0.15">
      <c r="D74" s="48" t="s">
        <v>7</v>
      </c>
      <c r="E74" s="7" t="s">
        <v>12</v>
      </c>
      <c r="F74" s="8" t="s">
        <v>1</v>
      </c>
      <c r="G74" s="7">
        <v>1</v>
      </c>
      <c r="H74" s="6">
        <v>1</v>
      </c>
      <c r="I74" s="6">
        <f>Table3345[[#This Row],[Current Qty]]-Table3345[[#This Row],[Expected Qty]]</f>
        <v>0</v>
      </c>
      <c r="J74" s="5" t="s">
        <v>0</v>
      </c>
      <c r="K74" s="4"/>
      <c r="M74" s="17" t="s">
        <v>42</v>
      </c>
      <c r="N74" s="18">
        <v>24</v>
      </c>
    </row>
    <row r="75" spans="4:14" x14ac:dyDescent="0.15">
      <c r="D75" s="49" t="s">
        <v>7</v>
      </c>
      <c r="E75" s="7" t="s">
        <v>11</v>
      </c>
      <c r="F75" s="8" t="s">
        <v>5</v>
      </c>
      <c r="G75" s="7">
        <v>1</v>
      </c>
      <c r="H75" s="6">
        <v>1</v>
      </c>
      <c r="I75" s="6">
        <f>Table3345[[#This Row],[Current Qty]]-Table3345[[#This Row],[Expected Qty]]</f>
        <v>0</v>
      </c>
      <c r="J75" s="5" t="s">
        <v>0</v>
      </c>
      <c r="K75" s="4"/>
      <c r="M75" s="17" t="s">
        <v>60</v>
      </c>
      <c r="N75" s="18">
        <v>0</v>
      </c>
    </row>
    <row r="76" spans="4:14" x14ac:dyDescent="0.15">
      <c r="D76" s="48" t="s">
        <v>7</v>
      </c>
      <c r="E76" s="7" t="s">
        <v>10</v>
      </c>
      <c r="F76" s="8" t="s">
        <v>1</v>
      </c>
      <c r="G76" s="7">
        <v>5</v>
      </c>
      <c r="H76" s="6">
        <v>5</v>
      </c>
      <c r="I76" s="6">
        <f>Table3345[[#This Row],[Current Qty]]-Table3345[[#This Row],[Expected Qty]]</f>
        <v>0</v>
      </c>
      <c r="J76" s="5" t="s">
        <v>0</v>
      </c>
      <c r="K76" s="4"/>
      <c r="M76" s="17" t="s">
        <v>49</v>
      </c>
      <c r="N76" s="18">
        <v>8</v>
      </c>
    </row>
    <row r="77" spans="4:14" x14ac:dyDescent="0.15">
      <c r="D77" s="48" t="s">
        <v>3</v>
      </c>
      <c r="E77" s="7" t="s">
        <v>9</v>
      </c>
      <c r="F77" s="8" t="s">
        <v>1</v>
      </c>
      <c r="G77" s="7">
        <v>2</v>
      </c>
      <c r="H77" s="6">
        <v>1</v>
      </c>
      <c r="I77" s="6">
        <f>Table3345[[#This Row],[Current Qty]]-Table3345[[#This Row],[Expected Qty]]</f>
        <v>-1</v>
      </c>
      <c r="J77" s="5" t="s">
        <v>0</v>
      </c>
      <c r="K77" s="4" t="s">
        <v>74</v>
      </c>
      <c r="M77" s="17" t="s">
        <v>61</v>
      </c>
      <c r="N77" s="18">
        <v>4</v>
      </c>
    </row>
    <row r="78" spans="4:14" x14ac:dyDescent="0.15">
      <c r="D78" s="48" t="s">
        <v>3</v>
      </c>
      <c r="E78" s="7" t="s">
        <v>8</v>
      </c>
      <c r="F78" s="8" t="s">
        <v>1</v>
      </c>
      <c r="G78" s="7">
        <v>12</v>
      </c>
      <c r="H78" s="6">
        <v>12</v>
      </c>
      <c r="I78" s="6">
        <f>Table3345[[#This Row],[Current Qty]]-Table3345[[#This Row],[Expected Qty]]</f>
        <v>0</v>
      </c>
      <c r="J78" s="5" t="s">
        <v>0</v>
      </c>
      <c r="K78" s="4"/>
      <c r="M78" s="17" t="s">
        <v>47</v>
      </c>
      <c r="N78" s="18">
        <v>17</v>
      </c>
    </row>
    <row r="79" spans="4:14" x14ac:dyDescent="0.15">
      <c r="D79" s="49" t="s">
        <v>7</v>
      </c>
      <c r="E79" s="7" t="s">
        <v>6</v>
      </c>
      <c r="F79" s="8" t="s">
        <v>5</v>
      </c>
      <c r="G79" s="7">
        <v>1</v>
      </c>
      <c r="H79" s="6">
        <v>1</v>
      </c>
      <c r="I79" s="6">
        <f>Table3345[[#This Row],[Current Qty]]-Table3345[[#This Row],[Expected Qty]]</f>
        <v>0</v>
      </c>
      <c r="J79" s="5" t="s">
        <v>0</v>
      </c>
      <c r="K79" s="4"/>
      <c r="M79" s="17" t="s">
        <v>62</v>
      </c>
      <c r="N79" s="18">
        <v>9</v>
      </c>
    </row>
    <row r="80" spans="4:14" x14ac:dyDescent="0.15">
      <c r="D80" s="48" t="s">
        <v>3</v>
      </c>
      <c r="E80" s="7" t="s">
        <v>4</v>
      </c>
      <c r="F80" s="8" t="s">
        <v>1</v>
      </c>
      <c r="G80" s="7">
        <v>1</v>
      </c>
      <c r="H80" s="6">
        <v>1</v>
      </c>
      <c r="I80" s="6">
        <f>Table3345[[#This Row],[Current Qty]]-Table3345[[#This Row],[Expected Qty]]</f>
        <v>0</v>
      </c>
      <c r="J80" s="5" t="s">
        <v>0</v>
      </c>
      <c r="K80" s="4"/>
      <c r="M80" s="16" t="s">
        <v>78</v>
      </c>
      <c r="N80" s="18">
        <v>773</v>
      </c>
    </row>
    <row r="81" spans="4:11" x14ac:dyDescent="0.15">
      <c r="D81" s="50" t="s">
        <v>3</v>
      </c>
      <c r="E81" s="51" t="s">
        <v>2</v>
      </c>
      <c r="F81" s="52" t="s">
        <v>1</v>
      </c>
      <c r="G81" s="51">
        <v>3</v>
      </c>
      <c r="H81" s="53">
        <v>3</v>
      </c>
      <c r="I81" s="53">
        <f>Table3345[[#This Row],[Current Qty]]-Table3345[[#This Row],[Expected Qty]]</f>
        <v>0</v>
      </c>
      <c r="J81" s="23" t="s">
        <v>0</v>
      </c>
      <c r="K81" s="1"/>
    </row>
    <row r="88" spans="4:11" ht="14" thickBot="1" x14ac:dyDescent="0.2"/>
    <row r="89" spans="4:11" x14ac:dyDescent="0.15">
      <c r="D89" s="38" t="s">
        <v>84</v>
      </c>
      <c r="E89" s="39"/>
      <c r="F89" s="39"/>
      <c r="G89" s="39"/>
      <c r="H89" s="40"/>
    </row>
    <row r="90" spans="4:11" x14ac:dyDescent="0.15">
      <c r="D90" s="41"/>
      <c r="E90" s="36"/>
      <c r="F90" s="36"/>
      <c r="G90" s="36"/>
      <c r="H90" s="42"/>
    </row>
    <row r="91" spans="4:11" ht="13" customHeight="1" x14ac:dyDescent="0.15">
      <c r="D91" s="41"/>
      <c r="E91" s="36"/>
      <c r="F91" s="36"/>
      <c r="G91" s="36"/>
      <c r="H91" s="42"/>
    </row>
    <row r="92" spans="4:11" ht="14" thickBot="1" x14ac:dyDescent="0.2">
      <c r="D92" s="43"/>
      <c r="E92" s="44"/>
      <c r="F92" s="44"/>
      <c r="G92" s="44"/>
      <c r="H92" s="45"/>
    </row>
    <row r="93" spans="4:11" ht="32" customHeight="1" thickBot="1" x14ac:dyDescent="0.2">
      <c r="D93" s="54" t="s">
        <v>82</v>
      </c>
      <c r="E93" s="37" t="s">
        <v>83</v>
      </c>
      <c r="F93" s="54" t="s">
        <v>81</v>
      </c>
      <c r="G93" s="37" t="s">
        <v>53</v>
      </c>
      <c r="H93" s="54" t="s">
        <v>64</v>
      </c>
    </row>
    <row r="94" spans="4:11" hidden="1" x14ac:dyDescent="0.15">
      <c r="D94" s="35"/>
      <c r="E94" s="21"/>
      <c r="F94" s="35"/>
      <c r="G94" s="21" t="s">
        <v>51</v>
      </c>
      <c r="H94" s="35"/>
    </row>
    <row r="95" spans="4:11" hidden="1" x14ac:dyDescent="0.15">
      <c r="D95" s="35"/>
      <c r="E95" s="21"/>
      <c r="F95" s="35"/>
      <c r="G95" s="21" t="s">
        <v>0</v>
      </c>
      <c r="H95" s="35"/>
    </row>
    <row r="96" spans="4:11" x14ac:dyDescent="0.15">
      <c r="D96" s="35"/>
      <c r="E96" s="21"/>
      <c r="F96" s="35"/>
      <c r="G96" s="21"/>
      <c r="H96" s="35"/>
    </row>
    <row r="97" spans="4:8" x14ac:dyDescent="0.15">
      <c r="D97" s="35"/>
      <c r="E97" s="21"/>
      <c r="F97" s="35"/>
      <c r="G97" s="21"/>
      <c r="H97" s="35"/>
    </row>
    <row r="98" spans="4:8" x14ac:dyDescent="0.15">
      <c r="D98" s="35"/>
      <c r="E98" s="21"/>
      <c r="F98" s="35"/>
      <c r="G98" s="21"/>
      <c r="H98" s="35"/>
    </row>
    <row r="99" spans="4:8" x14ac:dyDescent="0.15">
      <c r="D99" s="35"/>
      <c r="E99" s="21"/>
      <c r="F99" s="35"/>
      <c r="G99" s="21"/>
      <c r="H99" s="35"/>
    </row>
    <row r="100" spans="4:8" x14ac:dyDescent="0.15">
      <c r="D100" s="35"/>
      <c r="E100" s="21"/>
      <c r="F100" s="35"/>
      <c r="G100" s="21"/>
      <c r="H100" s="35"/>
    </row>
    <row r="101" spans="4:8" x14ac:dyDescent="0.15">
      <c r="D101" s="35"/>
      <c r="E101" s="21"/>
      <c r="F101" s="35"/>
      <c r="G101" s="21"/>
      <c r="H101" s="35"/>
    </row>
    <row r="102" spans="4:8" x14ac:dyDescent="0.15">
      <c r="D102" s="35"/>
      <c r="E102" s="21"/>
      <c r="F102" s="35"/>
      <c r="G102" s="21"/>
      <c r="H102" s="35"/>
    </row>
    <row r="103" spans="4:8" x14ac:dyDescent="0.15">
      <c r="D103" s="35"/>
      <c r="E103" s="21"/>
      <c r="F103" s="35"/>
      <c r="G103" s="21"/>
      <c r="H103" s="35"/>
    </row>
    <row r="104" spans="4:8" x14ac:dyDescent="0.15">
      <c r="D104" s="35"/>
      <c r="E104" s="21"/>
      <c r="F104" s="35"/>
      <c r="G104" s="21"/>
      <c r="H104" s="35"/>
    </row>
    <row r="105" spans="4:8" x14ac:dyDescent="0.15">
      <c r="D105" s="35"/>
      <c r="E105" s="21"/>
      <c r="F105" s="35"/>
      <c r="G105" s="21"/>
      <c r="H105" s="35"/>
    </row>
    <row r="106" spans="4:8" x14ac:dyDescent="0.15">
      <c r="D106" s="35"/>
      <c r="E106" s="21"/>
      <c r="F106" s="35"/>
      <c r="G106" s="21"/>
      <c r="H106" s="35"/>
    </row>
    <row r="107" spans="4:8" x14ac:dyDescent="0.15">
      <c r="D107" s="35"/>
      <c r="E107" s="21"/>
      <c r="F107" s="35"/>
      <c r="G107" s="21"/>
      <c r="H107" s="35"/>
    </row>
    <row r="108" spans="4:8" x14ac:dyDescent="0.15">
      <c r="D108" s="35"/>
      <c r="E108" s="21"/>
      <c r="F108" s="35"/>
      <c r="G108" s="21"/>
      <c r="H108" s="35"/>
    </row>
    <row r="109" spans="4:8" x14ac:dyDescent="0.15">
      <c r="D109" s="35"/>
      <c r="E109" s="21"/>
      <c r="F109" s="35"/>
      <c r="G109" s="21"/>
      <c r="H109" s="35"/>
    </row>
    <row r="110" spans="4:8" x14ac:dyDescent="0.15">
      <c r="D110" s="35"/>
      <c r="E110" s="21"/>
      <c r="F110" s="35"/>
      <c r="G110" s="21"/>
      <c r="H110" s="35"/>
    </row>
    <row r="111" spans="4:8" x14ac:dyDescent="0.15">
      <c r="D111" s="35"/>
      <c r="E111" s="21"/>
      <c r="F111" s="35"/>
      <c r="G111" s="21"/>
      <c r="H111" s="35"/>
    </row>
    <row r="112" spans="4:8" x14ac:dyDescent="0.15">
      <c r="D112" s="35"/>
      <c r="E112" s="21"/>
      <c r="F112" s="35"/>
      <c r="G112" s="21"/>
      <c r="H112" s="35"/>
    </row>
    <row r="113" spans="4:8" x14ac:dyDescent="0.15">
      <c r="D113" s="35"/>
      <c r="E113" s="21"/>
      <c r="F113" s="35"/>
      <c r="G113" s="21"/>
      <c r="H113" s="35"/>
    </row>
    <row r="114" spans="4:8" x14ac:dyDescent="0.15">
      <c r="D114" s="35"/>
      <c r="E114" s="21"/>
      <c r="F114" s="35"/>
      <c r="G114" s="21"/>
      <c r="H114" s="35"/>
    </row>
    <row r="115" spans="4:8" x14ac:dyDescent="0.15">
      <c r="D115" s="35"/>
      <c r="E115" s="21"/>
      <c r="F115" s="35"/>
      <c r="G115" s="21"/>
      <c r="H115" s="35"/>
    </row>
    <row r="116" spans="4:8" x14ac:dyDescent="0.15">
      <c r="D116" s="35"/>
      <c r="E116" s="21"/>
      <c r="F116" s="35"/>
      <c r="G116" s="21"/>
      <c r="H116" s="35"/>
    </row>
    <row r="117" spans="4:8" x14ac:dyDescent="0.15">
      <c r="D117" s="35"/>
      <c r="E117" s="21"/>
      <c r="F117" s="35"/>
      <c r="G117" s="21"/>
      <c r="H117" s="35"/>
    </row>
    <row r="118" spans="4:8" x14ac:dyDescent="0.15">
      <c r="D118" s="35"/>
      <c r="E118" s="21"/>
      <c r="F118" s="35"/>
      <c r="G118" s="21"/>
      <c r="H118" s="35"/>
    </row>
    <row r="119" spans="4:8" x14ac:dyDescent="0.15">
      <c r="D119" s="35"/>
      <c r="E119" s="21"/>
      <c r="F119" s="35"/>
      <c r="G119" s="21"/>
      <c r="H119" s="35"/>
    </row>
    <row r="120" spans="4:8" x14ac:dyDescent="0.15">
      <c r="D120" s="35"/>
      <c r="E120" s="21"/>
      <c r="F120" s="35"/>
      <c r="G120" s="21"/>
      <c r="H120" s="35"/>
    </row>
    <row r="121" spans="4:8" x14ac:dyDescent="0.15">
      <c r="D121" s="35"/>
      <c r="E121" s="21"/>
      <c r="F121" s="35"/>
      <c r="G121" s="21"/>
      <c r="H121" s="35"/>
    </row>
    <row r="122" spans="4:8" x14ac:dyDescent="0.15">
      <c r="D122" s="35"/>
      <c r="E122" s="21"/>
      <c r="F122" s="35"/>
      <c r="G122" s="21"/>
      <c r="H122" s="35"/>
    </row>
    <row r="123" spans="4:8" x14ac:dyDescent="0.15">
      <c r="D123" s="35"/>
      <c r="E123" s="21"/>
      <c r="F123" s="35"/>
      <c r="G123" s="21"/>
      <c r="H123" s="35"/>
    </row>
    <row r="124" spans="4:8" x14ac:dyDescent="0.15">
      <c r="D124" s="35"/>
      <c r="E124" s="21"/>
      <c r="F124" s="35"/>
      <c r="G124" s="21"/>
      <c r="H124" s="35"/>
    </row>
    <row r="125" spans="4:8" x14ac:dyDescent="0.15">
      <c r="D125" s="35"/>
      <c r="E125" s="21"/>
      <c r="F125" s="35"/>
      <c r="G125" s="21"/>
      <c r="H125" s="35"/>
    </row>
    <row r="126" spans="4:8" x14ac:dyDescent="0.15">
      <c r="D126" s="35"/>
      <c r="E126" s="21"/>
      <c r="F126" s="35"/>
      <c r="G126" s="21"/>
      <c r="H126" s="35"/>
    </row>
    <row r="127" spans="4:8" x14ac:dyDescent="0.15">
      <c r="D127" s="35"/>
      <c r="E127" s="21"/>
      <c r="F127" s="35"/>
      <c r="G127" s="21"/>
      <c r="H127" s="35"/>
    </row>
    <row r="128" spans="4:8" x14ac:dyDescent="0.15">
      <c r="D128" s="35"/>
      <c r="E128" s="21"/>
      <c r="F128" s="35"/>
      <c r="G128" s="21"/>
      <c r="H128" s="35"/>
    </row>
    <row r="129" spans="4:8" x14ac:dyDescent="0.15">
      <c r="D129" s="35"/>
      <c r="E129" s="21"/>
      <c r="F129" s="35"/>
      <c r="G129" s="21"/>
      <c r="H129" s="35"/>
    </row>
    <row r="130" spans="4:8" x14ac:dyDescent="0.15">
      <c r="D130" s="35"/>
      <c r="E130" s="21"/>
      <c r="F130" s="35"/>
      <c r="G130" s="21"/>
      <c r="H130" s="35"/>
    </row>
    <row r="131" spans="4:8" x14ac:dyDescent="0.15">
      <c r="D131" s="35"/>
      <c r="E131" s="21"/>
      <c r="F131" s="35"/>
      <c r="G131" s="21"/>
      <c r="H131" s="35"/>
    </row>
    <row r="132" spans="4:8" x14ac:dyDescent="0.15">
      <c r="D132" s="35"/>
      <c r="E132" s="21"/>
      <c r="F132" s="35"/>
      <c r="G132" s="21"/>
      <c r="H132" s="35"/>
    </row>
    <row r="133" spans="4:8" x14ac:dyDescent="0.15">
      <c r="D133" s="35"/>
      <c r="E133" s="21"/>
      <c r="F133" s="35"/>
      <c r="G133" s="21"/>
      <c r="H133" s="35"/>
    </row>
    <row r="134" spans="4:8" x14ac:dyDescent="0.15">
      <c r="D134" s="35"/>
      <c r="E134" s="21"/>
      <c r="F134" s="35"/>
      <c r="G134" s="21"/>
      <c r="H134" s="35"/>
    </row>
    <row r="135" spans="4:8" x14ac:dyDescent="0.15">
      <c r="D135" s="35"/>
      <c r="E135" s="21"/>
      <c r="F135" s="35"/>
      <c r="G135" s="21"/>
      <c r="H135" s="35"/>
    </row>
    <row r="136" spans="4:8" x14ac:dyDescent="0.15">
      <c r="D136" s="35"/>
      <c r="E136" s="21"/>
      <c r="F136" s="35"/>
      <c r="G136" s="21"/>
      <c r="H136" s="35"/>
    </row>
    <row r="137" spans="4:8" x14ac:dyDescent="0.15">
      <c r="D137" s="35"/>
      <c r="E137" s="21"/>
      <c r="F137" s="35"/>
      <c r="G137" s="21"/>
      <c r="H137" s="35"/>
    </row>
    <row r="138" spans="4:8" x14ac:dyDescent="0.15">
      <c r="D138" s="35"/>
      <c r="E138" s="21"/>
      <c r="F138" s="35"/>
      <c r="G138" s="21"/>
      <c r="H138" s="35"/>
    </row>
    <row r="139" spans="4:8" x14ac:dyDescent="0.15">
      <c r="D139" s="35"/>
      <c r="E139" s="21"/>
      <c r="F139" s="35"/>
      <c r="G139" s="21"/>
      <c r="H139" s="35"/>
    </row>
    <row r="140" spans="4:8" x14ac:dyDescent="0.15">
      <c r="D140" s="35"/>
      <c r="E140" s="21"/>
      <c r="F140" s="35"/>
      <c r="G140" s="21"/>
      <c r="H140" s="35"/>
    </row>
    <row r="141" spans="4:8" x14ac:dyDescent="0.15">
      <c r="D141" s="35"/>
      <c r="E141" s="21"/>
      <c r="F141" s="35"/>
      <c r="G141" s="21"/>
      <c r="H141" s="35"/>
    </row>
    <row r="142" spans="4:8" x14ac:dyDescent="0.15">
      <c r="D142" s="35"/>
      <c r="E142" s="21"/>
      <c r="F142" s="35"/>
      <c r="G142" s="21"/>
      <c r="H142" s="35"/>
    </row>
    <row r="143" spans="4:8" x14ac:dyDescent="0.15">
      <c r="D143" s="35"/>
      <c r="E143" s="21"/>
      <c r="F143" s="35"/>
      <c r="G143" s="21"/>
      <c r="H143" s="35"/>
    </row>
    <row r="144" spans="4:8" x14ac:dyDescent="0.15">
      <c r="D144" s="35"/>
      <c r="E144" s="21"/>
      <c r="F144" s="35"/>
      <c r="G144" s="21"/>
      <c r="H144" s="35"/>
    </row>
    <row r="145" spans="4:8" x14ac:dyDescent="0.15">
      <c r="D145" s="35"/>
      <c r="E145" s="21"/>
      <c r="F145" s="35"/>
      <c r="G145" s="21"/>
      <c r="H145" s="35"/>
    </row>
    <row r="146" spans="4:8" x14ac:dyDescent="0.15">
      <c r="D146" s="35"/>
      <c r="E146" s="21"/>
      <c r="F146" s="35"/>
      <c r="G146" s="21"/>
      <c r="H146" s="35"/>
    </row>
    <row r="147" spans="4:8" x14ac:dyDescent="0.15">
      <c r="D147" s="35"/>
      <c r="E147" s="21"/>
      <c r="F147" s="35"/>
      <c r="G147" s="21"/>
      <c r="H147" s="35"/>
    </row>
    <row r="148" spans="4:8" x14ac:dyDescent="0.15">
      <c r="D148" s="35"/>
      <c r="E148" s="21"/>
      <c r="F148" s="35"/>
      <c r="G148" s="21"/>
      <c r="H148" s="35"/>
    </row>
    <row r="149" spans="4:8" x14ac:dyDescent="0.15">
      <c r="D149" s="35"/>
      <c r="E149" s="21"/>
      <c r="F149" s="35"/>
      <c r="G149" s="21"/>
      <c r="H149" s="35"/>
    </row>
    <row r="150" spans="4:8" x14ac:dyDescent="0.15">
      <c r="D150" s="35"/>
      <c r="E150" s="21"/>
      <c r="F150" s="35"/>
      <c r="G150" s="21"/>
      <c r="H150" s="35"/>
    </row>
    <row r="151" spans="4:8" x14ac:dyDescent="0.15">
      <c r="D151" s="35"/>
      <c r="E151" s="21"/>
      <c r="F151" s="35"/>
      <c r="G151" s="21"/>
      <c r="H151" s="35"/>
    </row>
    <row r="152" spans="4:8" x14ac:dyDescent="0.15">
      <c r="D152" s="35"/>
      <c r="E152" s="21"/>
      <c r="F152" s="35"/>
      <c r="G152" s="21"/>
      <c r="H152" s="35"/>
    </row>
    <row r="153" spans="4:8" x14ac:dyDescent="0.15">
      <c r="D153" s="35"/>
      <c r="E153" s="21"/>
      <c r="F153" s="35"/>
      <c r="G153" s="21"/>
      <c r="H153" s="35"/>
    </row>
    <row r="154" spans="4:8" x14ac:dyDescent="0.15">
      <c r="D154" s="35"/>
      <c r="E154" s="21"/>
      <c r="F154" s="35"/>
      <c r="G154" s="21"/>
      <c r="H154" s="35"/>
    </row>
    <row r="155" spans="4:8" x14ac:dyDescent="0.15">
      <c r="D155" s="35"/>
      <c r="E155" s="21"/>
      <c r="F155" s="35"/>
      <c r="G155" s="21"/>
      <c r="H155" s="35"/>
    </row>
    <row r="156" spans="4:8" x14ac:dyDescent="0.15">
      <c r="D156" s="35"/>
      <c r="E156" s="21"/>
      <c r="F156" s="35"/>
      <c r="G156" s="21"/>
      <c r="H156" s="35"/>
    </row>
    <row r="157" spans="4:8" x14ac:dyDescent="0.15">
      <c r="D157" s="35"/>
      <c r="E157" s="21"/>
      <c r="F157" s="35"/>
      <c r="G157" s="21"/>
      <c r="H157" s="35"/>
    </row>
    <row r="158" spans="4:8" x14ac:dyDescent="0.15">
      <c r="D158" s="35"/>
      <c r="E158" s="21"/>
      <c r="F158" s="35"/>
      <c r="G158" s="21"/>
      <c r="H158" s="35"/>
    </row>
    <row r="159" spans="4:8" x14ac:dyDescent="0.15">
      <c r="D159" s="35"/>
      <c r="E159" s="21"/>
      <c r="F159" s="35"/>
      <c r="G159" s="21"/>
      <c r="H159" s="35"/>
    </row>
    <row r="160" spans="4:8" x14ac:dyDescent="0.15">
      <c r="D160" s="35"/>
      <c r="E160" s="21"/>
      <c r="F160" s="35"/>
      <c r="G160" s="21"/>
      <c r="H160" s="35"/>
    </row>
    <row r="161" spans="4:8" x14ac:dyDescent="0.15">
      <c r="D161" s="35"/>
      <c r="E161" s="21"/>
      <c r="F161" s="35"/>
      <c r="G161" s="21"/>
      <c r="H161" s="35"/>
    </row>
    <row r="162" spans="4:8" x14ac:dyDescent="0.15">
      <c r="D162" s="35"/>
      <c r="E162" s="21"/>
      <c r="F162" s="35"/>
      <c r="G162" s="21"/>
      <c r="H162" s="35"/>
    </row>
    <row r="163" spans="4:8" x14ac:dyDescent="0.15">
      <c r="D163" s="35"/>
      <c r="E163" s="21"/>
      <c r="F163" s="35"/>
      <c r="G163" s="21"/>
      <c r="H163" s="35"/>
    </row>
    <row r="164" spans="4:8" x14ac:dyDescent="0.15">
      <c r="D164" s="35"/>
      <c r="E164" s="21"/>
      <c r="F164" s="35"/>
      <c r="G164" s="21"/>
      <c r="H164" s="35"/>
    </row>
    <row r="165" spans="4:8" x14ac:dyDescent="0.15">
      <c r="D165" s="35"/>
      <c r="E165" s="21"/>
      <c r="F165" s="35"/>
      <c r="G165" s="21"/>
      <c r="H165" s="35"/>
    </row>
    <row r="166" spans="4:8" x14ac:dyDescent="0.15">
      <c r="D166" s="35"/>
      <c r="E166" s="21"/>
      <c r="F166" s="35"/>
      <c r="G166" s="21"/>
      <c r="H166" s="35"/>
    </row>
    <row r="167" spans="4:8" x14ac:dyDescent="0.15">
      <c r="D167" s="35"/>
      <c r="E167" s="21"/>
      <c r="F167" s="35"/>
      <c r="G167" s="21"/>
      <c r="H167" s="35"/>
    </row>
    <row r="168" spans="4:8" x14ac:dyDescent="0.15">
      <c r="D168" s="35"/>
      <c r="E168" s="21"/>
      <c r="F168" s="35"/>
      <c r="G168" s="21"/>
      <c r="H168" s="35"/>
    </row>
    <row r="169" spans="4:8" x14ac:dyDescent="0.15">
      <c r="D169" s="35"/>
      <c r="E169" s="21"/>
      <c r="F169" s="35"/>
      <c r="G169" s="21"/>
      <c r="H169" s="35"/>
    </row>
    <row r="170" spans="4:8" x14ac:dyDescent="0.15">
      <c r="D170" s="35"/>
      <c r="E170" s="21"/>
      <c r="F170" s="35"/>
      <c r="G170" s="21"/>
      <c r="H170" s="35"/>
    </row>
    <row r="171" spans="4:8" x14ac:dyDescent="0.15">
      <c r="D171" s="35"/>
      <c r="E171" s="21"/>
      <c r="F171" s="35"/>
      <c r="G171" s="21"/>
      <c r="H171" s="35"/>
    </row>
    <row r="172" spans="4:8" x14ac:dyDescent="0.15">
      <c r="D172" s="35"/>
      <c r="E172" s="21"/>
      <c r="F172" s="35"/>
      <c r="G172" s="21"/>
      <c r="H172" s="35"/>
    </row>
    <row r="173" spans="4:8" x14ac:dyDescent="0.15">
      <c r="D173" s="35"/>
      <c r="E173" s="21"/>
      <c r="F173" s="35"/>
      <c r="G173" s="21"/>
      <c r="H173" s="35"/>
    </row>
    <row r="174" spans="4:8" x14ac:dyDescent="0.15">
      <c r="D174" s="35"/>
      <c r="E174" s="21"/>
      <c r="F174" s="35"/>
      <c r="G174" s="21"/>
      <c r="H174" s="35"/>
    </row>
    <row r="175" spans="4:8" ht="14" thickBot="1" x14ac:dyDescent="0.2">
      <c r="D175" s="35"/>
      <c r="E175" s="46"/>
      <c r="F175" s="35"/>
      <c r="G175" s="46"/>
      <c r="H175" s="35"/>
    </row>
  </sheetData>
  <mergeCells count="2">
    <mergeCell ref="D89:H92"/>
    <mergeCell ref="D15:K18"/>
  </mergeCells>
  <conditionalFormatting sqref="J20:J81">
    <cfRule type="cellIs" dxfId="19" priority="4" operator="equal">
      <formula>$B$17</formula>
    </cfRule>
  </conditionalFormatting>
  <conditionalFormatting sqref="I20:I81">
    <cfRule type="cellIs" dxfId="18" priority="1" operator="greaterThan">
      <formula>0</formula>
    </cfRule>
    <cfRule type="cellIs" dxfId="17" priority="2" stopIfTrue="1" operator="lessThan">
      <formula>0</formula>
    </cfRule>
  </conditionalFormatting>
  <pageMargins left="0.7" right="0.7" top="0.75" bottom="0.75" header="0.3" footer="0.3"/>
  <ignoredErrors>
    <ignoredError sqref="G93" listDataValidation="1"/>
  </ignoredErrors>
  <drawing r:id="rId2"/>
  <tableParts count="2">
    <tablePart r:id="rId3"/>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918A7092-F2CB-4141-9B1B-3A5293FEAAC3}">
          <x14:formula1>
            <xm:f>Legend!$G$7:$G$9</xm:f>
          </x14:formula1>
          <xm:sqref>D20:D81</xm:sqref>
        </x14:dataValidation>
        <x14:dataValidation type="list" allowBlank="1" showInputMessage="1" showErrorMessage="1" xr:uid="{E17D8721-3EDC-F046-A87E-184E691441BF}">
          <x14:formula1>
            <xm:f>Legend!$G$19:$G$20</xm:f>
          </x14:formula1>
          <xm:sqref>J20:J81 G93:G156</xm:sqref>
        </x14:dataValidation>
        <x14:dataValidation type="list" allowBlank="1" showInputMessage="1" showErrorMessage="1" xr:uid="{4694FDE5-2E74-B144-AADB-EF376ABEC217}">
          <x14:formula1>
            <xm:f>Legend!$G$13:$G$16</xm:f>
          </x14:formula1>
          <xm:sqref>F20:F81</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Legend</vt:lpstr>
      <vt:lpstr>Inventory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Cesar</dc:creator>
  <cp:lastModifiedBy>Sanchez, Cesar</cp:lastModifiedBy>
  <dcterms:created xsi:type="dcterms:W3CDTF">2026-07-03T16:20:47Z</dcterms:created>
  <dcterms:modified xsi:type="dcterms:W3CDTF">2026-07-03T18:19:48Z</dcterms:modified>
</cp:coreProperties>
</file>