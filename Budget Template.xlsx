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pending Template" sheetId="1" r:id="rId4"/>
    <sheet state="visible" name="Yearly Overview" sheetId="2" r:id="rId5"/>
    <sheet state="visible" name="Jan" sheetId="3" r:id="rId6"/>
    <sheet state="visible" name="Feb" sheetId="4" r:id="rId7"/>
    <sheet state="visible" name="Mar" sheetId="5" r:id="rId8"/>
    <sheet state="visible" name="Apr" sheetId="6" r:id="rId9"/>
    <sheet state="visible" name="May" sheetId="7" r:id="rId10"/>
    <sheet state="visible" name="Jun" sheetId="8" r:id="rId11"/>
    <sheet state="visible" name="Jul" sheetId="9" r:id="rId12"/>
    <sheet state="visible" name="Aug" sheetId="10" r:id="rId13"/>
    <sheet state="visible" name="Sep" sheetId="11" r:id="rId14"/>
    <sheet state="visible" name="Oct" sheetId="12" r:id="rId15"/>
    <sheet state="visible" name="Nov" sheetId="13" r:id="rId16"/>
    <sheet state="visible" name="Dec" sheetId="14" r:id="rId17"/>
  </sheets>
  <definedNames/>
  <calcPr/>
  <extLst>
    <ext uri="GoogleSheetsCustomDataVersion2">
      <go:sheetsCustomData xmlns:go="http://customooxmlschemas.google.com/" r:id="rId18" roundtripDataChecksum="6nHpdBL06+QzNvo78GdwvGPUeEu6v7jtAJLxmNm9FhM="/>
    </ext>
  </extLst>
</workbook>
</file>

<file path=xl/sharedStrings.xml><?xml version="1.0" encoding="utf-8"?>
<sst xmlns="http://schemas.openxmlformats.org/spreadsheetml/2006/main" count="1215" uniqueCount="108">
  <si>
    <t xml:space="preserve">Income </t>
  </si>
  <si>
    <t xml:space="preserve">Total Income: </t>
  </si>
  <si>
    <t>Type of Split</t>
  </si>
  <si>
    <t>50/30/20</t>
  </si>
  <si>
    <t>&lt;- (Select which)</t>
  </si>
  <si>
    <t>Needs</t>
  </si>
  <si>
    <t>Starbucks Pay</t>
  </si>
  <si>
    <t>Wants</t>
  </si>
  <si>
    <t>W1</t>
  </si>
  <si>
    <t>Savings</t>
  </si>
  <si>
    <t>W2</t>
  </si>
  <si>
    <t>NEEDS</t>
  </si>
  <si>
    <t>WANTS</t>
  </si>
  <si>
    <t>Savings/Investments</t>
  </si>
  <si>
    <t>401K</t>
  </si>
  <si>
    <t>Rec.</t>
  </si>
  <si>
    <t>Dates</t>
  </si>
  <si>
    <t>$</t>
  </si>
  <si>
    <t>Checklist</t>
  </si>
  <si>
    <t>Actual</t>
  </si>
  <si>
    <t>25st</t>
  </si>
  <si>
    <t>Rent</t>
  </si>
  <si>
    <t>2nd</t>
  </si>
  <si>
    <t>HBO Max</t>
  </si>
  <si>
    <t>Total Overview</t>
  </si>
  <si>
    <t>21st</t>
  </si>
  <si>
    <t>Gym</t>
  </si>
  <si>
    <t>Savings Acct</t>
  </si>
  <si>
    <t>Misc</t>
  </si>
  <si>
    <t>30th</t>
  </si>
  <si>
    <t xml:space="preserve">Apple Music </t>
  </si>
  <si>
    <t>Needs Leftover</t>
  </si>
  <si>
    <t>Total:</t>
  </si>
  <si>
    <t>Wants Leftover</t>
  </si>
  <si>
    <t>Groceries</t>
  </si>
  <si>
    <t>Dinning Out</t>
  </si>
  <si>
    <t>Savings Leftovers</t>
  </si>
  <si>
    <t>Gas</t>
  </si>
  <si>
    <t>Haircut</t>
  </si>
  <si>
    <t>Roth IRA</t>
  </si>
  <si>
    <t xml:space="preserve">Total: </t>
  </si>
  <si>
    <t>Checking acct</t>
  </si>
  <si>
    <t>Credit Payment</t>
  </si>
  <si>
    <t>Other</t>
  </si>
  <si>
    <t>Leftover from Last Month</t>
  </si>
  <si>
    <t>Shopping</t>
  </si>
  <si>
    <t>Budgeted Money</t>
  </si>
  <si>
    <t>Total</t>
  </si>
  <si>
    <t>Leftover</t>
  </si>
  <si>
    <t>Monthly Transactions</t>
  </si>
  <si>
    <t>Monthly Total</t>
  </si>
  <si>
    <t>Options</t>
  </si>
  <si>
    <t>Subscriptions</t>
  </si>
  <si>
    <t>Dining out</t>
  </si>
  <si>
    <t>Date</t>
  </si>
  <si>
    <t>Category</t>
  </si>
  <si>
    <t>Amount</t>
  </si>
  <si>
    <t>Notes</t>
  </si>
  <si>
    <t>School Refund</t>
  </si>
  <si>
    <t xml:space="preserve">Extra: </t>
  </si>
  <si>
    <t>Payment</t>
  </si>
  <si>
    <t xml:space="preserve">Yearly Budget Planner </t>
  </si>
  <si>
    <t>Jan.</t>
  </si>
  <si>
    <t>Feb.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</si>
  <si>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</si>
  <si>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</si>
  <si>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</si>
  <si>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</si>
  <si>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</si>
  <si>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</si>
  <si>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</si>
  <si>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</si>
  <si>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</si>
  <si>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</si>
  <si>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Expenses</t>
  </si>
  <si>
    <t>Cash (Short/Extra)</t>
  </si>
  <si>
    <t>Checking Acct</t>
  </si>
  <si>
    <t>Apple Music</t>
  </si>
  <si>
    <t>Lululemon for Jackie</t>
  </si>
  <si>
    <t>Japanese Food</t>
  </si>
  <si>
    <t>Gym (need to downgrade)</t>
  </si>
  <si>
    <t>Bakery</t>
  </si>
  <si>
    <t>Textbook</t>
  </si>
  <si>
    <t>Lemonade</t>
  </si>
  <si>
    <t>Whataburger</t>
  </si>
  <si>
    <t>Snacks</t>
  </si>
  <si>
    <t>Starbucks</t>
  </si>
  <si>
    <t>Luna's Shots</t>
  </si>
  <si>
    <t>McDonalds</t>
  </si>
  <si>
    <t>Ring Camera Membership</t>
  </si>
  <si>
    <t>Sent to Arianna</t>
  </si>
  <si>
    <t>Cash to Jen</t>
  </si>
  <si>
    <t>Walmart</t>
  </si>
  <si>
    <t>Jackie's Laptop</t>
  </si>
  <si>
    <t>Target</t>
  </si>
  <si>
    <t>Dairy Queen</t>
  </si>
  <si>
    <t>Sonic</t>
  </si>
  <si>
    <t>Textbook (1)</t>
  </si>
  <si>
    <t>Coffee</t>
  </si>
  <si>
    <t>Textbook (2)</t>
  </si>
  <si>
    <t>Panda</t>
  </si>
  <si>
    <t>Vending Machine</t>
  </si>
  <si>
    <t>Amazon</t>
  </si>
  <si>
    <t>Chickfila</t>
  </si>
  <si>
    <t>Petco</t>
  </si>
  <si>
    <t>Chickflia</t>
  </si>
  <si>
    <t>starbucks</t>
  </si>
  <si>
    <t>BBQ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</si>
</sst>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(&quot;$&quot;* #,##0.00_);_(&quot;$&quot;* \(#,##0.00\);_(&quot;$&quot;* &quot;-&quot;??_);_(@_)"/>
    <numFmt numFmtId="166" formatCode="&quot;$&quot;#,##0.00_);[Red]\(&quot;$&quot;#,##0.00\)"/>
    <numFmt numFmtId="167" formatCode="&quot;$&quot;#,##0_);[Red]\(&quot;$&quot;#,##0\)"/>
  </numFmts>
  <fonts count="27">
    <font>
      <sz val="12.0"/>
      <color theme="1"/>
      <name val="Aptos Narrow"/>
      <scheme val="minor"/>
    </font>
    <font>
      <b/>
      <sz val="22.0"/>
      <color theme="0"/>
      <name val="Aptos Narrow (Body)"/>
    </font>
    <font/>
    <font>
      <b/>
      <sz val="12.0"/>
      <color theme="0"/>
      <name val="Aptos Narrow"/>
    </font>
    <font>
      <sz val="12.0"/>
      <color theme="1"/>
      <name val="Aptos Narrow"/>
    </font>
    <font>
      <b/>
      <sz val="12.0"/>
      <color theme="5"/>
      <name val="Aptos Narrow (Body)"/>
    </font>
    <font>
      <color theme="1"/>
      <name val="Aptos Narrow"/>
      <scheme val="minor"/>
    </font>
    <font>
      <b/>
      <sz val="12.0"/>
      <color theme="1"/>
      <name val="Aptos Narrow"/>
    </font>
    <font>
      <i/>
      <sz val="12.0"/>
      <color theme="1"/>
      <name val="Aptos Narrow"/>
    </font>
    <font>
      <b/>
      <sz val="12.0"/>
      <color theme="1"/>
      <name val="Aptos Narrow (Body)"/>
    </font>
    <font>
      <i/>
      <sz val="12.0"/>
      <color rgb="FF000000"/>
      <name val="Aptos Narrow"/>
    </font>
    <font>
      <sz val="12.0"/>
      <color rgb="FF000000"/>
      <name val="Aptos Narrow"/>
    </font>
    <font>
      <b/>
      <sz val="18.0"/>
      <color theme="0"/>
      <name val="Aptos Narrow (Body)"/>
    </font>
    <font>
      <b/>
      <i/>
      <sz val="12.0"/>
      <color rgb="FF000000"/>
      <name val="Aptos Narrow"/>
    </font>
    <font>
      <b/>
      <i/>
      <sz val="28.0"/>
      <color theme="1"/>
      <name val="Aptos Narrow"/>
    </font>
    <font>
      <sz val="24.0"/>
      <color theme="1"/>
      <name val="Aptos Narrow"/>
    </font>
    <font>
      <b/>
      <u/>
      <sz val="24.0"/>
      <color theme="1"/>
      <name val="Aptos Narrow"/>
    </font>
    <font>
      <b/>
      <sz val="24.0"/>
      <color theme="1"/>
      <name val="Aptos Narrow"/>
    </font>
    <font>
      <b/>
      <u/>
      <sz val="24.0"/>
      <color theme="1"/>
      <name val="Aptos Narrow"/>
    </font>
    <font>
      <sz val="28.0"/>
      <color theme="0"/>
      <name val="Aptos Narrow"/>
    </font>
    <font>
      <sz val="48.0"/>
      <color theme="0"/>
      <name val="Aptos Narrow"/>
    </font>
    <font>
      <sz val="12.0"/>
      <color theme="0"/>
      <name val="Aptos Narrow"/>
    </font>
    <font>
      <b/>
      <sz val="18.0"/>
      <color theme="1"/>
      <name val="Georgia"/>
    </font>
    <font>
      <sz val="12.0"/>
      <color theme="1"/>
      <name val="Georgia"/>
    </font>
    <font>
      <sz val="16.0"/>
      <color theme="1"/>
      <name val="Aptos Narrow"/>
    </font>
    <font>
      <sz val="16.0"/>
      <color rgb="FF000000"/>
      <name val="Aptos Narrow"/>
    </font>
    <font>
      <b/>
      <u/>
      <sz val="20.0"/>
      <color theme="0"/>
      <name val="Aptos Narrow"/>
    </font>
  </fonts>
  <fills count="29">
    <fill>
      <patternFill patternType="none"/>
    </fill>
    <fill>
      <patternFill patternType="lightGray"/>
    </fill>
    <fill>
      <patternFill patternType="solid">
        <fgColor rgb="FF153D64"/>
        <bgColor rgb="FF153D64"/>
      </patternFill>
    </fill>
    <fill>
      <patternFill patternType="solid">
        <fgColor rgb="FF0E2841"/>
        <bgColor rgb="FF0E2841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A6C9ED"/>
        <bgColor rgb="FFA6C9ED"/>
      </patternFill>
    </fill>
    <fill>
      <patternFill patternType="solid">
        <fgColor rgb="FFE49EDD"/>
        <bgColor rgb="FFE49EDD"/>
      </patternFill>
    </fill>
    <fill>
      <patternFill patternType="solid">
        <fgColor rgb="FFA6C9EB"/>
        <bgColor rgb="FFA6C9EB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EC9C"/>
        <bgColor rgb="FFFFEC9C"/>
      </patternFill>
    </fill>
    <fill>
      <patternFill patternType="solid">
        <fgColor rgb="FF45B0E1"/>
        <bgColor rgb="FF45B0E1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747474"/>
        <bgColor rgb="FF747474"/>
      </patternFill>
    </fill>
    <fill>
      <patternFill patternType="solid">
        <fgColor rgb="FFE59EDD"/>
        <bgColor rgb="FFE59EDD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7F7F7F"/>
        <bgColor rgb="FF7F7F7F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0A3041"/>
        <bgColor rgb="FF0A3041"/>
      </patternFill>
    </fill>
    <fill>
      <patternFill patternType="solid">
        <fgColor rgb="FF215E99"/>
        <bgColor rgb="FF215E99"/>
      </patternFill>
    </fill>
    <fill>
      <patternFill patternType="solid">
        <fgColor rgb="FFFFFF00"/>
        <bgColor rgb="FFFFFF00"/>
      </patternFill>
    </fill>
  </fills>
  <borders count="1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/>
      <top style="thin">
        <color rgb="FF000000"/>
      </top>
      <bottom/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/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4" fontId="4" numFmtId="164" xfId="0" applyAlignment="1" applyBorder="1" applyFill="1" applyFont="1" applyNumberFormat="1">
      <alignment horizont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3" numFmtId="0" xfId="0" applyAlignment="1" applyBorder="1" applyFont="1">
      <alignment horizontal="center" vertical="center"/>
    </xf>
    <xf borderId="11" fillId="0" fontId="2" numFmtId="0" xfId="0" applyBorder="1" applyFont="1"/>
    <xf borderId="12" fillId="5" fontId="5" numFmtId="165" xfId="0" applyAlignment="1" applyBorder="1" applyFill="1" applyFont="1" applyNumberFormat="1">
      <alignment horizontal="center" vertical="center"/>
    </xf>
    <xf borderId="13" fillId="0" fontId="2" numFmtId="0" xfId="0" applyBorder="1" applyFont="1"/>
    <xf borderId="0" fillId="0" fontId="6" numFmtId="0" xfId="0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0" fillId="6" fontId="7" numFmtId="0" xfId="0" applyAlignment="1" applyBorder="1" applyFill="1" applyFon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7" fillId="6" fontId="7" numFmtId="0" xfId="0" applyAlignment="1" applyBorder="1" applyFont="1">
      <alignment horizontal="center"/>
    </xf>
    <xf borderId="18" fillId="0" fontId="2" numFmtId="0" xfId="0" applyBorder="1" applyFont="1"/>
    <xf borderId="0" fillId="0" fontId="4" numFmtId="165" xfId="0" applyAlignment="1" applyFont="1" applyNumberFormat="1">
      <alignment horizontal="center"/>
    </xf>
    <xf borderId="9" fillId="0" fontId="4" numFmtId="165" xfId="0" applyBorder="1" applyFont="1" applyNumberFormat="1"/>
    <xf borderId="8" fillId="0" fontId="8" numFmtId="0" xfId="0" applyAlignment="1" applyBorder="1" applyFont="1">
      <alignment horizontal="right" vertical="center"/>
    </xf>
    <xf borderId="19" fillId="0" fontId="2" numFmtId="0" xfId="0" applyBorder="1" applyFont="1"/>
    <xf borderId="20" fillId="7" fontId="4" numFmtId="165" xfId="0" applyAlignment="1" applyBorder="1" applyFill="1" applyFont="1" applyNumberFormat="1">
      <alignment horizontal="center"/>
    </xf>
    <xf borderId="21" fillId="6" fontId="7" numFmtId="0" xfId="0" applyAlignment="1" applyBorder="1" applyFont="1">
      <alignment horizontal="center" vertical="center"/>
    </xf>
    <xf borderId="22" fillId="0" fontId="2" numFmtId="0" xfId="0" applyBorder="1" applyFont="1"/>
    <xf borderId="16" fillId="0" fontId="4" numFmtId="165" xfId="0" applyBorder="1" applyFont="1" applyNumberFormat="1"/>
    <xf borderId="1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24" fillId="0" fontId="2" numFmtId="0" xfId="0" applyBorder="1" applyFont="1"/>
    <xf borderId="25" fillId="2" fontId="3" numFmtId="0" xfId="0" applyAlignment="1" applyBorder="1" applyFont="1">
      <alignment horizontal="center"/>
    </xf>
    <xf borderId="26" fillId="0" fontId="2" numFmtId="0" xfId="0" applyBorder="1" applyFont="1"/>
    <xf borderId="8" fillId="0" fontId="7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6" fontId="7" numFmtId="0" xfId="0" applyAlignment="1" applyBorder="1" applyFont="1">
      <alignment horizontal="center"/>
    </xf>
    <xf borderId="0" fillId="0" fontId="4" numFmtId="165" xfId="0" applyFont="1" applyNumberFormat="1"/>
    <xf borderId="33" fillId="0" fontId="4" numFmtId="165" xfId="0" applyBorder="1" applyFont="1" applyNumberFormat="1"/>
    <xf borderId="10" fillId="6" fontId="7" numFmtId="0" xfId="0" applyAlignment="1" applyBorder="1" applyFont="1">
      <alignment horizontal="center"/>
    </xf>
    <xf borderId="34" fillId="8" fontId="7" numFmtId="0" xfId="0" applyAlignment="1" applyBorder="1" applyFill="1" applyFont="1">
      <alignment horizontal="center" vertical="center"/>
    </xf>
    <xf borderId="35" fillId="8" fontId="9" numFmtId="0" xfId="0" applyAlignment="1" applyBorder="1" applyFont="1">
      <alignment horizontal="center" vertical="center"/>
    </xf>
    <xf borderId="35" fillId="8" fontId="7" numFmtId="0" xfId="0" applyAlignment="1" applyBorder="1" applyFont="1">
      <alignment horizontal="center" vertical="center"/>
    </xf>
    <xf borderId="36" fillId="8" fontId="9" numFmtId="0" xfId="0" applyAlignment="1" applyBorder="1" applyFont="1">
      <alignment horizontal="center" vertical="center"/>
    </xf>
    <xf borderId="37" fillId="6" fontId="7" numFmtId="0" xfId="0" applyAlignment="1" applyBorder="1" applyFont="1">
      <alignment horizontal="center"/>
    </xf>
    <xf borderId="38" fillId="0" fontId="2" numFmtId="0" xfId="0" applyBorder="1" applyFont="1"/>
    <xf borderId="37" fillId="9" fontId="7" numFmtId="0" xfId="0" applyAlignment="1" applyBorder="1" applyFill="1" applyFont="1">
      <alignment horizontal="center"/>
    </xf>
    <xf borderId="39" fillId="0" fontId="2" numFmtId="0" xfId="0" applyBorder="1" applyFont="1"/>
    <xf borderId="40" fillId="0" fontId="8" numFmtId="0" xfId="0" applyAlignment="1" applyBorder="1" applyFont="1">
      <alignment horizontal="right"/>
    </xf>
    <xf borderId="41" fillId="7" fontId="4" numFmtId="165" xfId="0" applyBorder="1" applyFont="1" applyNumberFormat="1"/>
    <xf borderId="8" fillId="0" fontId="10" numFmtId="0" xfId="0" applyAlignment="1" applyBorder="1" applyFont="1">
      <alignment horizontal="right"/>
    </xf>
    <xf borderId="20" fillId="7" fontId="11" numFmtId="165" xfId="0" applyAlignment="1" applyBorder="1" applyFont="1" applyNumberFormat="1">
      <alignment horizontal="center"/>
    </xf>
    <xf borderId="9" fillId="0" fontId="11" numFmtId="165" xfId="0" applyBorder="1" applyFont="1" applyNumberFormat="1"/>
    <xf borderId="42" fillId="5" fontId="4" numFmtId="2" xfId="0" applyAlignment="1" applyBorder="1" applyFont="1" applyNumberFormat="1">
      <alignment horizontal="center" vertical="center"/>
    </xf>
    <xf borderId="43" fillId="10" fontId="7" numFmtId="0" xfId="0" applyAlignment="1" applyBorder="1" applyFill="1" applyFont="1">
      <alignment horizontal="center"/>
    </xf>
    <xf borderId="43" fillId="11" fontId="11" numFmtId="165" xfId="0" applyBorder="1" applyFill="1" applyFont="1" applyNumberFormat="1"/>
    <xf borderId="44" fillId="0" fontId="11" numFmtId="165" xfId="0" applyBorder="1" applyFont="1" applyNumberFormat="1"/>
    <xf borderId="45" fillId="5" fontId="4" numFmtId="14" xfId="0" applyAlignment="1" applyBorder="1" applyFont="1" applyNumberFormat="1">
      <alignment horizontal="center" vertical="center"/>
    </xf>
    <xf borderId="46" fillId="10" fontId="7" numFmtId="0" xfId="0" applyAlignment="1" applyBorder="1" applyFont="1">
      <alignment horizontal="center"/>
    </xf>
    <xf borderId="46" fillId="11" fontId="4" numFmtId="165" xfId="0" applyBorder="1" applyFont="1" applyNumberFormat="1"/>
    <xf borderId="47" fillId="0" fontId="4" numFmtId="165" xfId="0" applyBorder="1" applyFont="1" applyNumberFormat="1"/>
    <xf borderId="48" fillId="0" fontId="4" numFmtId="165" xfId="0" applyBorder="1" applyFont="1" applyNumberFormat="1"/>
    <xf borderId="1" fillId="2" fontId="12" numFmtId="0" xfId="0" applyAlignment="1" applyBorder="1" applyFont="1">
      <alignment horizontal="center" vertical="center"/>
    </xf>
    <xf borderId="16" fillId="0" fontId="11" numFmtId="165" xfId="0" applyBorder="1" applyFont="1" applyNumberFormat="1"/>
    <xf borderId="8" fillId="0" fontId="4" numFmtId="0" xfId="0" applyBorder="1" applyFont="1"/>
    <xf borderId="9" fillId="0" fontId="4" numFmtId="0" xfId="0" applyBorder="1" applyFont="1"/>
    <xf borderId="20" fillId="5" fontId="4" numFmtId="14" xfId="0" applyAlignment="1" applyBorder="1" applyFont="1" applyNumberFormat="1">
      <alignment horizontal="center" vertical="center"/>
    </xf>
    <xf borderId="43" fillId="11" fontId="4" numFmtId="165" xfId="0" applyBorder="1" applyFont="1" applyNumberFormat="1"/>
    <xf borderId="49" fillId="0" fontId="4" numFmtId="165" xfId="0" applyBorder="1" applyFont="1" applyNumberFormat="1"/>
    <xf borderId="40" fillId="0" fontId="4" numFmtId="0" xfId="0" applyBorder="1" applyFont="1"/>
    <xf borderId="8" fillId="0" fontId="13" numFmtId="0" xfId="0" applyAlignment="1" applyBorder="1" applyFont="1">
      <alignment horizontal="center"/>
    </xf>
    <xf borderId="0" fillId="0" fontId="11" numFmtId="165" xfId="0" applyAlignment="1" applyFont="1" applyNumberFormat="1">
      <alignment horizontal="center"/>
    </xf>
    <xf borderId="38" fillId="0" fontId="4" numFmtId="165" xfId="0" applyBorder="1" applyFont="1" applyNumberForma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6" fontId="7" numFmtId="0" xfId="0" applyAlignment="1" applyBorder="1" applyFont="1">
      <alignment horizontal="center"/>
    </xf>
    <xf borderId="54" fillId="0" fontId="2" numFmtId="0" xfId="0" applyBorder="1" applyFont="1"/>
    <xf borderId="55" fillId="12" fontId="4" numFmtId="165" xfId="0" applyAlignment="1" applyBorder="1" applyFill="1" applyFont="1" applyNumberFormat="1">
      <alignment horizontal="center"/>
    </xf>
    <xf borderId="56" fillId="0" fontId="4" numFmtId="165" xfId="0" applyAlignment="1" applyBorder="1" applyFont="1" applyNumberFormat="1">
      <alignment horizontal="center"/>
    </xf>
    <xf borderId="10" fillId="8" fontId="7" numFmtId="0" xfId="0" applyAlignment="1" applyBorder="1" applyFont="1">
      <alignment horizontal="center" vertical="center"/>
    </xf>
    <xf borderId="57" fillId="0" fontId="4" numFmtId="165" xfId="0" applyAlignment="1" applyBorder="1" applyFont="1" applyNumberFormat="1">
      <alignment horizontal="center"/>
    </xf>
    <xf borderId="58" fillId="0" fontId="2" numFmtId="0" xfId="0" applyBorder="1" applyFont="1"/>
    <xf borderId="59" fillId="13" fontId="7" numFmtId="0" xfId="0" applyAlignment="1" applyBorder="1" applyFill="1" applyFont="1">
      <alignment horizontal="center"/>
    </xf>
    <xf borderId="60" fillId="0" fontId="2" numFmtId="0" xfId="0" applyBorder="1" applyFont="1"/>
    <xf borderId="61" fillId="13" fontId="4" numFmtId="165" xfId="0" applyAlignment="1" applyBorder="1" applyFont="1" applyNumberFormat="1">
      <alignment horizontal="center"/>
    </xf>
    <xf borderId="62" fillId="13" fontId="7" numFmtId="164" xfId="0" applyAlignment="1" applyBorder="1" applyFont="1" applyNumberFormat="1">
      <alignment horizontal="center" vertical="center"/>
    </xf>
    <xf borderId="63" fillId="14" fontId="4" numFmtId="0" xfId="0" applyBorder="1" applyFill="1" applyFont="1"/>
    <xf borderId="64" fillId="14" fontId="4" numFmtId="0" xfId="0" applyBorder="1" applyFont="1"/>
    <xf borderId="65" fillId="14" fontId="4" numFmtId="0" xfId="0" applyBorder="1" applyFont="1"/>
    <xf borderId="66" fillId="7" fontId="4" numFmtId="165" xfId="0" applyBorder="1" applyFont="1" applyNumberFormat="1"/>
    <xf borderId="17" fillId="15" fontId="7" numFmtId="0" xfId="0" applyAlignment="1" applyBorder="1" applyFill="1" applyFont="1">
      <alignment horizontal="center"/>
    </xf>
    <xf borderId="67" fillId="0" fontId="2" numFmtId="0" xfId="0" applyBorder="1" applyFont="1"/>
    <xf borderId="28" fillId="0" fontId="4" numFmtId="165" xfId="0" applyAlignment="1" applyBorder="1" applyFont="1" applyNumberFormat="1">
      <alignment horizontal="center"/>
    </xf>
    <xf borderId="68" fillId="0" fontId="2" numFmtId="0" xfId="0" applyBorder="1" applyFont="1"/>
    <xf borderId="49" fillId="16" fontId="3" numFmtId="0" xfId="0" applyAlignment="1" applyBorder="1" applyFill="1" applyFont="1">
      <alignment horizontal="center"/>
    </xf>
    <xf borderId="49" fillId="0" fontId="4" numFmtId="165" xfId="0" applyAlignment="1" applyBorder="1" applyFont="1" applyNumberFormat="1">
      <alignment horizontal="center"/>
    </xf>
    <xf borderId="10" fillId="17" fontId="7" numFmtId="0" xfId="0" applyAlignment="1" applyBorder="1" applyFill="1" applyFont="1">
      <alignment horizontal="center"/>
    </xf>
    <xf borderId="69" fillId="0" fontId="2" numFmtId="0" xfId="0" applyBorder="1" applyFont="1"/>
    <xf borderId="70" fillId="0" fontId="4" numFmtId="165" xfId="0" applyAlignment="1" applyBorder="1" applyFont="1" applyNumberFormat="1">
      <alignment horizontal="center"/>
    </xf>
    <xf borderId="49" fillId="6" fontId="7" numFmtId="0" xfId="0" applyAlignment="1" applyBorder="1" applyFont="1">
      <alignment horizontal="center"/>
    </xf>
    <xf borderId="32" fillId="6" fontId="7" numFmtId="0" xfId="0" applyAlignment="1" applyBorder="1" applyFont="1">
      <alignment horizontal="center" vertical="center"/>
    </xf>
    <xf borderId="33" fillId="0" fontId="4" numFmtId="0" xfId="0" applyBorder="1" applyFont="1"/>
    <xf borderId="71" fillId="18" fontId="7" numFmtId="0" xfId="0" applyAlignment="1" applyBorder="1" applyFill="1" applyFont="1">
      <alignment horizontal="center" vertical="center"/>
    </xf>
    <xf borderId="72" fillId="0" fontId="2" numFmtId="0" xfId="0" applyBorder="1" applyFont="1"/>
    <xf borderId="73" fillId="0" fontId="14" numFmtId="164" xfId="0" applyAlignment="1" applyBorder="1" applyFont="1" applyNumberFormat="1">
      <alignment horizontal="center" vertical="center"/>
    </xf>
    <xf borderId="74" fillId="0" fontId="2" numFmtId="0" xfId="0" applyBorder="1" applyFont="1"/>
    <xf borderId="64" fillId="5" fontId="4" numFmtId="0" xfId="0" applyBorder="1" applyFont="1"/>
    <xf borderId="58" fillId="0" fontId="4" numFmtId="165" xfId="0" applyAlignment="1" applyBorder="1" applyFont="1" applyNumberFormat="1">
      <alignment horizontal="center"/>
    </xf>
    <xf borderId="49" fillId="19" fontId="3" numFmtId="0" xfId="0" applyAlignment="1" applyBorder="1" applyFill="1" applyFont="1">
      <alignment horizontal="center"/>
    </xf>
    <xf borderId="40" fillId="0" fontId="4" numFmtId="0" xfId="0" applyAlignment="1" applyBorder="1" applyFont="1">
      <alignment horizontal="right"/>
    </xf>
    <xf borderId="41" fillId="20" fontId="4" numFmtId="165" xfId="0" applyBorder="1" applyFill="1" applyFont="1" applyNumberFormat="1"/>
    <xf borderId="64" fillId="15" fontId="4" numFmtId="0" xfId="0" applyBorder="1" applyFont="1"/>
    <xf borderId="75" fillId="0" fontId="4" numFmtId="0" xfId="0" applyAlignment="1" applyBorder="1" applyFont="1">
      <alignment horizontal="center"/>
    </xf>
    <xf borderId="76" fillId="0" fontId="2" numFmtId="0" xfId="0" applyBorder="1" applyFont="1"/>
    <xf borderId="49" fillId="0" fontId="4" numFmtId="0" xfId="0" applyAlignment="1" applyBorder="1" applyFont="1">
      <alignment horizontal="center"/>
    </xf>
    <xf borderId="49" fillId="20" fontId="3" numFmtId="0" xfId="0" applyAlignment="1" applyBorder="1" applyFont="1">
      <alignment horizontal="center"/>
    </xf>
    <xf borderId="48" fillId="0" fontId="4" numFmtId="0" xfId="0" applyBorder="1" applyFont="1"/>
    <xf borderId="71" fillId="0" fontId="4" numFmtId="0" xfId="0" applyAlignment="1" applyBorder="1" applyFont="1">
      <alignment horizontal="center"/>
    </xf>
    <xf borderId="73" fillId="0" fontId="4" numFmtId="0" xfId="0" applyAlignment="1" applyBorder="1" applyFont="1">
      <alignment horizontal="center"/>
    </xf>
    <xf borderId="17" fillId="6" fontId="4" numFmtId="14" xfId="0" applyAlignment="1" applyBorder="1" applyFont="1" applyNumberFormat="1">
      <alignment horizontal="center" vertical="center"/>
    </xf>
    <xf borderId="47" fillId="0" fontId="4" numFmtId="165" xfId="0" applyAlignment="1" applyBorder="1" applyFont="1" applyNumberFormat="1">
      <alignment horizontal="center"/>
    </xf>
    <xf borderId="77" fillId="6" fontId="4" numFmtId="0" xfId="0" applyAlignment="1" applyBorder="1" applyFont="1">
      <alignment horizontal="center"/>
    </xf>
    <xf borderId="53" fillId="13" fontId="7" numFmtId="0" xfId="0" applyAlignment="1" applyBorder="1" applyFont="1">
      <alignment horizontal="center"/>
    </xf>
    <xf borderId="78" fillId="0" fontId="2" numFmtId="0" xfId="0" applyBorder="1" applyFont="1"/>
    <xf borderId="79" fillId="0" fontId="4" numFmtId="165" xfId="0" applyAlignment="1" applyBorder="1" applyFont="1" applyNumberFormat="1">
      <alignment horizontal="center"/>
    </xf>
    <xf borderId="80" fillId="13" fontId="7" numFmtId="0" xfId="0" applyAlignment="1" applyBorder="1" applyFont="1">
      <alignment horizontal="center"/>
    </xf>
    <xf borderId="81" fillId="0" fontId="7" numFmtId="165" xfId="0" applyAlignment="1" applyBorder="1" applyFont="1" applyNumberFormat="1">
      <alignment horizontal="center" vertical="center"/>
    </xf>
    <xf borderId="82" fillId="0" fontId="4" numFmtId="0" xfId="0" applyBorder="1" applyFont="1"/>
    <xf borderId="83" fillId="0" fontId="4" numFmtId="0" xfId="0" applyBorder="1" applyFont="1"/>
    <xf borderId="84" fillId="0" fontId="4" numFmtId="0" xfId="0" applyBorder="1" applyFont="1"/>
    <xf borderId="59" fillId="4" fontId="15" numFmtId="0" xfId="0" applyAlignment="1" applyBorder="1" applyFont="1">
      <alignment horizontal="center"/>
    </xf>
    <xf borderId="15" fillId="0" fontId="16" numFmtId="165" xfId="0" applyAlignment="1" applyBorder="1" applyFont="1" applyNumberFormat="1">
      <alignment horizontal="center"/>
    </xf>
    <xf borderId="85" fillId="4" fontId="15" numFmtId="0" xfId="0" applyAlignment="1" applyBorder="1" applyFont="1">
      <alignment horizontal="center"/>
    </xf>
    <xf borderId="86" fillId="0" fontId="2" numFmtId="0" xfId="0" applyBorder="1" applyFont="1"/>
    <xf borderId="87" fillId="0" fontId="2" numFmtId="0" xfId="0" applyBorder="1" applyFont="1"/>
    <xf borderId="88" fillId="13" fontId="17" numFmtId="0" xfId="0" applyAlignment="1" applyBorder="1" applyFont="1">
      <alignment horizontal="center"/>
    </xf>
    <xf borderId="61" fillId="13" fontId="17" numFmtId="165" xfId="0" applyBorder="1" applyFont="1" applyNumberFormat="1"/>
    <xf borderId="62" fillId="13" fontId="18" numFmtId="164" xfId="0" applyAlignment="1" applyBorder="1" applyFont="1" applyNumberFormat="1">
      <alignment horizontal="center"/>
    </xf>
    <xf borderId="64" fillId="14" fontId="4" numFmtId="0" xfId="0" applyAlignment="1" applyBorder="1" applyFont="1">
      <alignment horizontal="center"/>
    </xf>
    <xf borderId="1" fillId="2" fontId="19" numFmtId="2" xfId="0" applyAlignment="1" applyBorder="1" applyFont="1" applyNumberFormat="1">
      <alignment horizontal="center" vertical="center"/>
    </xf>
    <xf borderId="1" fillId="2" fontId="20" numFmtId="0" xfId="0" applyAlignment="1" applyBorder="1" applyFont="1">
      <alignment horizontal="center"/>
    </xf>
    <xf borderId="1" fillId="13" fontId="15" numFmtId="165" xfId="0" applyAlignment="1" applyBorder="1" applyFont="1" applyNumberFormat="1">
      <alignment horizontal="center" vertical="center"/>
    </xf>
    <xf borderId="89" fillId="2" fontId="21" numFmtId="0" xfId="0" applyBorder="1" applyFont="1"/>
    <xf borderId="90" fillId="21" fontId="4" numFmtId="0" xfId="0" applyBorder="1" applyFill="1" applyFont="1"/>
    <xf borderId="90" fillId="22" fontId="4" numFmtId="0" xfId="0" applyBorder="1" applyFill="1" applyFont="1"/>
    <xf borderId="91" fillId="21" fontId="21" numFmtId="0" xfId="0" applyAlignment="1" applyBorder="1" applyFont="1">
      <alignment horizontal="center" vertical="center"/>
    </xf>
    <xf borderId="91" fillId="17" fontId="21" numFmtId="0" xfId="0" applyAlignment="1" applyBorder="1" applyFont="1">
      <alignment horizontal="center" vertical="center"/>
    </xf>
    <xf borderId="91" fillId="23" fontId="21" numFmtId="0" xfId="0" applyAlignment="1" applyBorder="1" applyFill="1" applyFont="1">
      <alignment horizontal="center" vertical="center"/>
    </xf>
    <xf borderId="91" fillId="24" fontId="21" numFmtId="0" xfId="0" applyAlignment="1" applyBorder="1" applyFill="1" applyFont="1">
      <alignment horizontal="center" vertical="center"/>
    </xf>
    <xf borderId="91" fillId="16" fontId="21" numFmtId="0" xfId="0" applyAlignment="1" applyBorder="1" applyFont="1">
      <alignment horizontal="center" vertical="center"/>
    </xf>
    <xf borderId="91" fillId="10" fontId="4" numFmtId="0" xfId="0" applyAlignment="1" applyBorder="1" applyFont="1">
      <alignment horizontal="center" vertical="center"/>
    </xf>
    <xf borderId="91" fillId="20" fontId="21" numFmtId="0" xfId="0" applyAlignment="1" applyBorder="1" applyFont="1">
      <alignment horizontal="center" vertical="center"/>
    </xf>
    <xf borderId="90" fillId="23" fontId="4" numFmtId="0" xfId="0" applyBorder="1" applyFont="1"/>
    <xf borderId="1" fillId="5" fontId="22" numFmtId="0" xfId="0" applyAlignment="1" applyBorder="1" applyFont="1">
      <alignment horizontal="center" vertical="center"/>
    </xf>
    <xf borderId="23" fillId="5" fontId="22" numFmtId="0" xfId="0" applyAlignment="1" applyBorder="1" applyFont="1">
      <alignment horizontal="center" vertical="center"/>
    </xf>
    <xf borderId="92" fillId="0" fontId="2" numFmtId="0" xfId="0" applyBorder="1" applyFont="1"/>
    <xf borderId="93" fillId="5" fontId="22" numFmtId="0" xfId="0" applyAlignment="1" applyBorder="1" applyFont="1">
      <alignment horizontal="center" vertical="center"/>
    </xf>
    <xf borderId="94" fillId="5" fontId="22" numFmtId="0" xfId="0" applyAlignment="1" applyBorder="1" applyFont="1">
      <alignment horizontal="center" vertical="center"/>
    </xf>
    <xf borderId="95" fillId="0" fontId="2" numFmtId="0" xfId="0" applyBorder="1" applyFont="1"/>
    <xf borderId="90" fillId="24" fontId="4" numFmtId="0" xfId="0" applyBorder="1" applyFont="1"/>
    <xf borderId="96" fillId="0" fontId="2" numFmtId="0" xfId="0" applyBorder="1" applyFont="1"/>
    <xf borderId="97" fillId="0" fontId="2" numFmtId="0" xfId="0" applyBorder="1" applyFont="1"/>
    <xf borderId="98" fillId="0" fontId="2" numFmtId="0" xfId="0" applyBorder="1" applyFont="1"/>
    <xf borderId="99" fillId="0" fontId="2" numFmtId="0" xfId="0" applyBorder="1" applyFont="1"/>
    <xf borderId="100" fillId="0" fontId="4" numFmtId="165" xfId="0" applyAlignment="1" applyBorder="1" applyFont="1" applyNumberFormat="1">
      <alignment horizontal="center" vertical="center"/>
    </xf>
    <xf borderId="101" fillId="0" fontId="4" numFmtId="165" xfId="0" applyAlignment="1" applyBorder="1" applyFont="1" applyNumberFormat="1">
      <alignment horizontal="center" vertical="center"/>
    </xf>
    <xf borderId="102" fillId="0" fontId="4" numFmtId="165" xfId="0" applyAlignment="1" applyBorder="1" applyFont="1" applyNumberFormat="1">
      <alignment horizontal="center" vertical="center"/>
    </xf>
    <xf borderId="90" fillId="25" fontId="4" numFmtId="0" xfId="0" applyBorder="1" applyFill="1" applyFont="1"/>
    <xf borderId="10" fillId="6" fontId="4" numFmtId="14" xfId="0" applyAlignment="1" applyBorder="1" applyFont="1" applyNumberFormat="1">
      <alignment horizontal="center" vertical="center"/>
    </xf>
    <xf borderId="103" fillId="0" fontId="2" numFmtId="0" xfId="0" applyBorder="1" applyFont="1"/>
    <xf borderId="49" fillId="0" fontId="21" numFmtId="0" xfId="0" applyAlignment="1" applyBorder="1" applyFont="1">
      <alignment horizontal="center" vertical="center"/>
    </xf>
    <xf borderId="104" fillId="0" fontId="4" numFmtId="165" xfId="0" applyBorder="1" applyFont="1" applyNumberFormat="1"/>
    <xf borderId="105" fillId="0" fontId="23" numFmtId="0" xfId="0" applyAlignment="1" applyBorder="1" applyFont="1">
      <alignment horizontal="center"/>
    </xf>
    <xf borderId="106" fillId="0" fontId="2" numFmtId="0" xfId="0" applyBorder="1" applyFont="1"/>
    <xf borderId="48" fillId="0" fontId="2" numFmtId="0" xfId="0" applyBorder="1" applyFont="1"/>
    <xf borderId="90" fillId="10" fontId="4" numFmtId="0" xfId="0" applyBorder="1" applyFont="1"/>
    <xf borderId="43" fillId="0" fontId="4" numFmtId="165" xfId="0" applyBorder="1" applyFont="1" applyNumberFormat="1"/>
    <xf borderId="105" fillId="0" fontId="4" numFmtId="0" xfId="0" applyAlignment="1" applyBorder="1" applyFont="1">
      <alignment horizontal="center"/>
    </xf>
    <xf borderId="107" fillId="20" fontId="4" numFmtId="0" xfId="0" applyBorder="1" applyFont="1"/>
    <xf borderId="64" fillId="2" fontId="21" numFmtId="0" xfId="0" applyBorder="1" applyFont="1"/>
    <xf borderId="64" fillId="2" fontId="21" numFmtId="0" xfId="0" applyAlignment="1" applyBorder="1" applyFont="1">
      <alignment horizontal="center" vertical="center"/>
    </xf>
    <xf borderId="0" fillId="0" fontId="24" numFmtId="0" xfId="0" applyFont="1"/>
    <xf borderId="64" fillId="23" fontId="21" numFmtId="0" xfId="0" applyAlignment="1" applyBorder="1" applyFont="1">
      <alignment horizontal="center" vertical="center"/>
    </xf>
    <xf borderId="0" fillId="0" fontId="25" numFmtId="166" xfId="0" applyFont="1" applyNumberFormat="1"/>
    <xf borderId="49" fillId="0" fontId="4" numFmtId="0" xfId="0" applyAlignment="1" applyBorder="1" applyFont="1">
      <alignment horizontal="center" vertical="center"/>
    </xf>
    <xf borderId="43" fillId="0" fontId="4" numFmtId="167" xfId="0" applyBorder="1" applyFont="1" applyNumberFormat="1"/>
    <xf borderId="71" fillId="6" fontId="4" numFmtId="14" xfId="0" applyAlignment="1" applyBorder="1" applyFont="1" applyNumberFormat="1">
      <alignment horizontal="center" vertical="center"/>
    </xf>
    <xf borderId="108" fillId="0" fontId="2" numFmtId="0" xfId="0" applyBorder="1" applyFont="1"/>
    <xf borderId="35" fillId="0" fontId="4" numFmtId="165" xfId="0" applyBorder="1" applyFont="1" applyNumberFormat="1"/>
    <xf borderId="99" fillId="0" fontId="4" numFmtId="0" xfId="0" applyAlignment="1" applyBorder="1" applyFont="1">
      <alignment horizontal="center"/>
    </xf>
    <xf borderId="1" fillId="26" fontId="26" numFmtId="0" xfId="0" applyAlignment="1" applyBorder="1" applyFill="1" applyFont="1">
      <alignment horizontal="center" vertical="center"/>
    </xf>
    <xf borderId="75" fillId="27" fontId="3" numFmtId="0" xfId="0" applyAlignment="1" applyBorder="1" applyFill="1" applyFont="1">
      <alignment horizontal="center" vertical="center"/>
    </xf>
    <xf borderId="101" fillId="27" fontId="3" numFmtId="0" xfId="0" applyAlignment="1" applyBorder="1" applyFont="1">
      <alignment horizontal="center" vertical="center"/>
    </xf>
    <xf borderId="102" fillId="27" fontId="3" numFmtId="0" xfId="0" applyAlignment="1" applyBorder="1" applyFont="1">
      <alignment horizontal="center" vertical="center"/>
    </xf>
    <xf borderId="109" fillId="0" fontId="2" numFmtId="0" xfId="0" applyBorder="1" applyFont="1"/>
    <xf borderId="110" fillId="0" fontId="2" numFmtId="0" xfId="0" applyBorder="1" applyFont="1"/>
    <xf borderId="10" fillId="27" fontId="3" numFmtId="0" xfId="0" applyAlignment="1" applyBorder="1" applyFont="1">
      <alignment horizontal="center"/>
    </xf>
    <xf borderId="43" fillId="0" fontId="7" numFmtId="165" xfId="0" applyBorder="1" applyFont="1" applyNumberFormat="1"/>
    <xf borderId="44" fillId="0" fontId="7" numFmtId="165" xfId="0" applyBorder="1" applyFont="1" applyNumberFormat="1"/>
    <xf borderId="71" fillId="27" fontId="3" numFmtId="0" xfId="0" applyAlignment="1" applyBorder="1" applyFont="1">
      <alignment horizontal="center"/>
    </xf>
    <xf borderId="35" fillId="0" fontId="7" numFmtId="165" xfId="0" applyBorder="1" applyFont="1" applyNumberFormat="1"/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/>
    </xf>
    <xf borderId="83" fillId="0" fontId="4" numFmtId="165" xfId="0" applyAlignment="1" applyBorder="1" applyFont="1" applyNumberFormat="1">
      <alignment horizontal="center"/>
    </xf>
    <xf borderId="64" fillId="5" fontId="4" numFmtId="0" xfId="0" applyAlignment="1" applyBorder="1" applyFont="1">
      <alignment horizontal="center" vertical="center"/>
    </xf>
    <xf borderId="0" fillId="0" fontId="11" numFmtId="0" xfId="0" applyFont="1"/>
    <xf borderId="64" fillId="5" fontId="11" numFmtId="0" xfId="0" applyAlignment="1" applyBorder="1" applyFont="1">
      <alignment horizontal="center" vertical="center"/>
    </xf>
    <xf borderId="64" fillId="15" fontId="11" numFmtId="0" xfId="0" applyBorder="1" applyFont="1"/>
    <xf borderId="0" fillId="0" fontId="11" numFmtId="165" xfId="0" applyFont="1" applyNumberFormat="1"/>
    <xf borderId="111" fillId="28" fontId="23" numFmtId="0" xfId="0" applyAlignment="1" applyBorder="1" applyFill="1" applyFont="1">
      <alignment horizontal="center"/>
    </xf>
    <xf borderId="112" fillId="0" fontId="2" numFmtId="0" xfId="0" applyBorder="1" applyFont="1"/>
    <xf borderId="0" fillId="0" fontId="4" numFmtId="166" xfId="0" applyFont="1" applyNumberFormat="1"/>
    <xf borderId="49" fillId="16" fontId="21" numFmtId="0" xfId="0" applyAlignment="1" applyBorder="1" applyFont="1">
      <alignment horizontal="center" vertical="center"/>
    </xf>
    <xf borderId="111" fillId="28" fontId="4" numFmtId="0" xfId="0" applyAlignment="1" applyBorder="1" applyFont="1">
      <alignment horizontal="center"/>
    </xf>
    <xf borderId="57" fillId="2" fontId="3" numFmtId="0" xfId="0" applyAlignment="1" applyBorder="1" applyFont="1">
      <alignment horizontal="center" vertical="center"/>
    </xf>
    <xf borderId="113" fillId="0" fontId="2" numFmtId="0" xfId="0" applyBorder="1" applyFont="1"/>
    <xf borderId="114" fillId="6" fontId="7" numFmtId="0" xfId="0" applyAlignment="1" applyBorder="1" applyFont="1">
      <alignment horizontal="center"/>
    </xf>
    <xf borderId="115" fillId="0" fontId="4" numFmtId="165" xfId="0" applyBorder="1" applyFont="1" applyNumberFormat="1"/>
    <xf borderId="115" fillId="0" fontId="8" numFmtId="0" xfId="0" applyAlignment="1" applyBorder="1" applyFont="1">
      <alignment horizontal="right"/>
    </xf>
    <xf borderId="98" fillId="0" fontId="4" numFmtId="165" xfId="0" applyBorder="1" applyFont="1" applyNumberFormat="1"/>
    <xf borderId="115" fillId="0" fontId="4" numFmtId="0" xfId="0" applyBorder="1" applyFont="1"/>
    <xf borderId="114" fillId="6" fontId="7" numFmtId="0" xfId="0" applyAlignment="1" applyBorder="1" applyFont="1">
      <alignment horizontal="center" vertical="center"/>
    </xf>
    <xf borderId="115" fillId="0" fontId="4" numFmtId="0" xfId="0" applyAlignment="1" applyBorder="1" applyFont="1">
      <alignment horizontal="right"/>
    </xf>
    <xf borderId="98" fillId="0" fontId="4" numFmtId="0" xfId="0" applyBorder="1" applyFont="1"/>
    <xf borderId="0" fillId="0" fontId="11" numFmtId="164" xfId="0" applyFont="1" applyNumberFormat="1"/>
    <xf borderId="109" fillId="0" fontId="4" numFmtId="0" xfId="0" applyBorder="1" applyFont="1"/>
    <xf borderId="28" fillId="0" fontId="4" numFmtId="0" xfId="0" applyBorder="1" applyFont="1"/>
  </cellXfs>
  <cellStyles count="1">
    <cellStyle xfId="0" name="Normal" builtinId="0"/>
  </cellStyles>
  <dxfs count="9"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E59EDD"/>
          <bgColor rgb="FFE59ED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Expenses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'Yearly Overview'!$E$5:$P$5</c:f>
            </c:strRef>
          </c:cat>
          <c:val>
            <c:numRef>
              <c:f>'Yearly Overview'!$E$7:$P$7</c:f>
              <c:numCache/>
            </c:numRef>
          </c:val>
        </c:ser>
        <c:ser>
          <c:idx val="1"/>
          <c:order val="1"/>
          <c:tx>
            <c:v>Cash (Short/Extra)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'Yearly Overview'!$E$5:$P$5</c:f>
            </c:strRef>
          </c:cat>
          <c:val>
            <c:numRef>
              <c:f>'Yearly Overview'!$E$8:$P$8</c:f>
              <c:numCache/>
            </c:numRef>
          </c:val>
        </c:ser>
        <c:axId val="550740806"/>
        <c:axId val="681150244"/>
      </c:barChart>
      <c:catAx>
        <c:axId val="550740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1150244"/>
      </c:catAx>
      <c:valAx>
        <c:axId val="681150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07408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10</xdr:row>
      <xdr:rowOff>142875</xdr:rowOff>
    </xdr:from>
    <xdr:ext cx="13239750" cy="2790825"/>
    <xdr:graphicFrame>
      <xdr:nvGraphicFramePr>
        <xdr:cNvPr id="7675162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83" t="str">
        <f>B17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B16" s="112" t="s">
        <v>41</v>
      </c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A17" s="117" t="s">
        <v>44</v>
      </c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hidden="1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hidden="1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hidden="1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hidden="1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hidden="1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 collapsed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67"/>
    <col customWidth="1" min="4" max="7" width="10.56"/>
    <col customWidth="1" min="8" max="8" width="9.67"/>
    <col customWidth="1" min="9" max="14" width="10.56"/>
    <col customWidth="1" min="15" max="15" width="9.67"/>
    <col customWidth="1" min="16" max="26" width="10.56"/>
  </cols>
  <sheetData>
    <row r="1" ht="15.75" customHeight="1"/>
    <row r="2" ht="15.75" customHeight="1">
      <c r="C2" s="196" t="s">
        <v>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5.75" customHeight="1">
      <c r="C3" s="8"/>
      <c r="P3" s="9"/>
    </row>
    <row r="4" ht="15.75" customHeight="1">
      <c r="C4" s="36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8"/>
    </row>
    <row r="5" ht="15.75" customHeight="1">
      <c r="C5" s="197"/>
      <c r="D5" s="119"/>
      <c r="E5" s="198" t="s">
        <v>62</v>
      </c>
      <c r="F5" s="198" t="s">
        <v>63</v>
      </c>
      <c r="G5" s="198" t="s">
        <v>64</v>
      </c>
      <c r="H5" s="198" t="s">
        <v>65</v>
      </c>
      <c r="I5" s="198" t="s">
        <v>66</v>
      </c>
      <c r="J5" s="198" t="s">
        <v>67</v>
      </c>
      <c r="K5" s="198" t="s">
        <v>68</v>
      </c>
      <c r="L5" s="198" t="s">
        <v>69</v>
      </c>
      <c r="M5" s="198" t="s">
        <v>70</v>
      </c>
      <c r="N5" s="198" t="s">
        <v>71</v>
      </c>
      <c r="O5" s="198" t="s">
        <v>72</v>
      </c>
      <c r="P5" s="199" t="s">
        <v>73</v>
      </c>
    </row>
    <row r="6" ht="15.75" customHeight="1">
      <c r="C6" s="36"/>
      <c r="D6" s="99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1"/>
    </row>
    <row r="7" ht="15.75" customHeight="1">
      <c r="C7" s="202" t="s">
        <v>74</v>
      </c>
      <c r="D7" s="11"/>
      <c r="E7" s="203">
        <f>Jan!U35</f>
        <v>0</v>
      </c>
      <c r="F7" s="203">
        <f>Feb!U35</f>
        <v>0</v>
      </c>
      <c r="G7" s="203">
        <f>Mar!U35</f>
        <v>0</v>
      </c>
      <c r="H7" s="203">
        <f>Apr!U35</f>
        <v>0</v>
      </c>
      <c r="I7" s="203">
        <f>May!U35</f>
        <v>0</v>
      </c>
      <c r="J7" s="203">
        <f>Jun!U35</f>
        <v>0</v>
      </c>
      <c r="K7" s="203">
        <f>Jul!U35</f>
        <v>0</v>
      </c>
      <c r="L7" s="203">
        <f>Aug!U35</f>
        <v>1731.88</v>
      </c>
      <c r="M7" s="203">
        <f>Sep!U35</f>
        <v>163.15</v>
      </c>
      <c r="N7" s="203">
        <f>Oct!U35</f>
        <v>0</v>
      </c>
      <c r="O7" s="203">
        <f>Nov!U35</f>
        <v>0</v>
      </c>
      <c r="P7" s="204">
        <f>Dec!U35</f>
        <v>0</v>
      </c>
    </row>
    <row r="8" ht="15.75" customHeight="1">
      <c r="C8" s="205" t="s">
        <v>75</v>
      </c>
      <c r="D8" s="109"/>
      <c r="E8" s="206">
        <f>Jan!T15</f>
        <v>0</v>
      </c>
      <c r="F8" s="206">
        <f>Feb!T15</f>
        <v>0</v>
      </c>
      <c r="G8" s="206">
        <f>Mar!T15</f>
        <v>0</v>
      </c>
      <c r="H8" s="206">
        <f>Apr!T15</f>
        <v>0</v>
      </c>
      <c r="I8" s="206">
        <f>May!T15</f>
        <v>0</v>
      </c>
      <c r="J8" s="206">
        <f>Jun!T15</f>
        <v>0</v>
      </c>
      <c r="K8" s="206">
        <f>Jul!T15</f>
        <v>0</v>
      </c>
      <c r="L8" s="206">
        <f>Aug!C21</f>
        <v>869.196</v>
      </c>
      <c r="M8" s="206">
        <f>Sep!T15</f>
        <v>0</v>
      </c>
      <c r="N8" s="206">
        <f>Oct!T15</f>
        <v>0</v>
      </c>
      <c r="O8" s="206">
        <f>Nov!T15</f>
        <v>0</v>
      </c>
      <c r="P8" s="206">
        <f>Dec!T15</f>
        <v>0</v>
      </c>
    </row>
    <row r="9" ht="15.75" customHeight="1">
      <c r="C9" s="207"/>
      <c r="D9" s="207"/>
    </row>
    <row r="10" ht="15.75" customHeight="1">
      <c r="C10" s="207"/>
      <c r="D10" s="207"/>
    </row>
    <row r="11" ht="15.75" customHeight="1">
      <c r="C11" s="208"/>
      <c r="E11" s="20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J5:J6"/>
    <mergeCell ref="K5:K6"/>
    <mergeCell ref="L5:L6"/>
    <mergeCell ref="M5:M6"/>
    <mergeCell ref="N5:N6"/>
    <mergeCell ref="O5:O6"/>
    <mergeCell ref="C5:D6"/>
    <mergeCell ref="C7:D7"/>
    <mergeCell ref="C8:D8"/>
    <mergeCell ref="C11:D11"/>
    <mergeCell ref="C2:P4"/>
    <mergeCell ref="E5:E6"/>
    <mergeCell ref="F5:F6"/>
    <mergeCell ref="G5:G6"/>
    <mergeCell ref="H5:H6"/>
    <mergeCell ref="I5:I6"/>
    <mergeCell ref="P5:P6"/>
  </mergeCells>
  <conditionalFormatting sqref="E8:P8">
    <cfRule type="cellIs" dxfId="7" priority="1" operator="lessThan">
      <formula>0</formula>
    </cfRule>
  </conditionalFormatting>
  <conditionalFormatting sqref="E8:P8">
    <cfRule type="cellIs" dxfId="8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83" t="str">
        <f>B17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B16" s="112" t="s">
        <v>41</v>
      </c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A17" s="117" t="s">
        <v>44</v>
      </c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 t="str">
        <f>B16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B15" s="210" t="s">
        <v>76</v>
      </c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A16" s="117" t="s">
        <v>44</v>
      </c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 t="str">
        <f>B18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B17" s="210" t="s">
        <v>76</v>
      </c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A18" s="117" t="s">
        <v>44</v>
      </c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 t="str">
        <f>B18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A17" s="211"/>
      <c r="B17" s="212" t="s">
        <v>76</v>
      </c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A18" s="213" t="s">
        <v>44</v>
      </c>
      <c r="B18" s="211"/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/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A17" s="211"/>
      <c r="B17" s="212" t="s">
        <v>76</v>
      </c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A18" s="213" t="s">
        <v>44</v>
      </c>
      <c r="B18" s="214" t="str">
        <f>C12</f>
        <v/>
      </c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 t="str">
        <f>B20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A19" s="211"/>
      <c r="B19" s="212" t="s">
        <v>76</v>
      </c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A20" s="213" t="s">
        <v>44</v>
      </c>
      <c r="B20" s="211"/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 t="str">
        <f>B18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A17" s="211"/>
      <c r="B17" s="212" t="s">
        <v>76</v>
      </c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A18" s="213" t="s">
        <v>44</v>
      </c>
      <c r="B18" s="211"/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2654.27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1327.135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796.281</v>
      </c>
      <c r="L4" s="9"/>
    </row>
    <row r="5" ht="15.75" customHeight="1">
      <c r="A5" s="24" t="s">
        <v>8</v>
      </c>
      <c r="B5" s="25"/>
      <c r="C5" s="26">
        <v>1243.06</v>
      </c>
      <c r="D5" s="23"/>
      <c r="I5" s="27" t="s">
        <v>9</v>
      </c>
      <c r="J5" s="28"/>
      <c r="K5" s="22">
        <f>IF(K2="50/30/20",(K1*0.2), IF(K2="70/20/10",(K1*0.1)))</f>
        <v>530.854</v>
      </c>
      <c r="L5" s="9"/>
    </row>
    <row r="6" ht="15.75" customHeight="1">
      <c r="A6" s="24" t="s">
        <v>10</v>
      </c>
      <c r="B6" s="25"/>
      <c r="C6" s="26">
        <v>1276.72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2519.78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66.49</v>
      </c>
      <c r="D9" s="57"/>
      <c r="F9" s="58" t="s">
        <v>20</v>
      </c>
      <c r="G9" s="59" t="s">
        <v>21</v>
      </c>
      <c r="H9" s="60">
        <v>650.0</v>
      </c>
      <c r="I9" s="61" t="b">
        <v>1</v>
      </c>
      <c r="J9" s="62" t="s">
        <v>22</v>
      </c>
      <c r="K9" s="63" t="s">
        <v>23</v>
      </c>
      <c r="L9" s="64">
        <v>5.39</v>
      </c>
      <c r="M9" s="65" t="b">
        <v>1</v>
      </c>
      <c r="N9" s="53" t="s">
        <v>10</v>
      </c>
      <c r="O9" s="54">
        <v>150.0</v>
      </c>
      <c r="P9" s="66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1</v>
      </c>
      <c r="N10" s="74"/>
      <c r="O10" s="42"/>
      <c r="P10" s="43">
        <f>SUM(O8,O9)</f>
        <v>150</v>
      </c>
    </row>
    <row r="11" ht="15.75" customHeight="1">
      <c r="A11" s="75"/>
      <c r="B11" s="25"/>
      <c r="C11" s="76"/>
      <c r="D11" s="77">
        <f>SUM(C9:C10)</f>
        <v>66.49</v>
      </c>
      <c r="F11" s="69"/>
      <c r="I11" s="70"/>
      <c r="N11" s="41" t="s">
        <v>27</v>
      </c>
      <c r="O11" s="42"/>
      <c r="P11" s="43"/>
    </row>
    <row r="12" ht="15.75" customHeight="1">
      <c r="A12" s="81" t="s">
        <v>28</v>
      </c>
      <c r="B12" s="82"/>
      <c r="C12" s="209" t="str">
        <f>B26</f>
        <v/>
      </c>
      <c r="D12" s="84">
        <f>26+26+16</f>
        <v>68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1</v>
      </c>
      <c r="N12" s="53" t="s">
        <v>8</v>
      </c>
      <c r="O12" s="54">
        <v>0.0</v>
      </c>
      <c r="P12" s="43"/>
    </row>
    <row r="13" ht="15.75" customHeight="1">
      <c r="A13" s="88" t="s">
        <v>32</v>
      </c>
      <c r="B13" s="89"/>
      <c r="C13" s="90"/>
      <c r="D13" s="91">
        <f>SUM(D7,D11,D12,C12)</f>
        <v>2654.27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>
        <v>527.65</v>
      </c>
      <c r="P13" s="66"/>
    </row>
    <row r="14" ht="15.75" customHeight="1">
      <c r="F14" s="96" t="s">
        <v>34</v>
      </c>
      <c r="G14" s="97"/>
      <c r="H14" s="98">
        <f>S40</f>
        <v>70</v>
      </c>
      <c r="I14" s="99"/>
      <c r="J14" s="100" t="s">
        <v>35</v>
      </c>
      <c r="K14" s="11"/>
      <c r="L14" s="101">
        <f>T40</f>
        <v>168.91</v>
      </c>
      <c r="M14" s="11"/>
      <c r="N14" s="74"/>
      <c r="O14" s="42"/>
      <c r="P14" s="43">
        <f>SUM(O12,O13)</f>
        <v>527.65</v>
      </c>
    </row>
    <row r="15" ht="15.75" customHeight="1">
      <c r="A15" s="67" t="s">
        <v>24</v>
      </c>
      <c r="B15" s="2"/>
      <c r="C15" s="2"/>
      <c r="D15" s="3"/>
      <c r="F15" s="102" t="s">
        <v>37</v>
      </c>
      <c r="G15" s="103"/>
      <c r="H15" s="104">
        <f>Q40</f>
        <v>61.61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</row>
    <row r="16" ht="15.75" customHeight="1">
      <c r="A16" s="8"/>
      <c r="D16" s="9"/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482.41</v>
      </c>
      <c r="M16" s="11"/>
      <c r="N16" s="115" t="s">
        <v>8</v>
      </c>
      <c r="O16" s="116">
        <v>0.0</v>
      </c>
      <c r="P16" s="107"/>
    </row>
    <row r="17" ht="15.75" customHeight="1">
      <c r="A17" s="78"/>
      <c r="B17" s="79"/>
      <c r="C17" s="79"/>
      <c r="D17" s="80"/>
      <c r="F17" s="118"/>
      <c r="G17" s="119"/>
      <c r="H17" s="120"/>
      <c r="I17" s="11"/>
      <c r="J17" s="121" t="s">
        <v>45</v>
      </c>
      <c r="K17" s="11"/>
      <c r="L17" s="101">
        <f>V40</f>
        <v>247.03</v>
      </c>
      <c r="M17" s="11"/>
      <c r="N17" s="115" t="s">
        <v>10</v>
      </c>
      <c r="O17" s="116">
        <v>0.0</v>
      </c>
      <c r="P17" s="122"/>
    </row>
    <row r="18" ht="15.75" customHeight="1">
      <c r="A18" s="85" t="s">
        <v>31</v>
      </c>
      <c r="B18" s="11"/>
      <c r="C18" s="86">
        <f>H32</f>
        <v>345.525</v>
      </c>
      <c r="D18" s="87"/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A19" s="85" t="s">
        <v>33</v>
      </c>
      <c r="B19" s="11"/>
      <c r="C19" s="86">
        <f>L32</f>
        <v>-153.979</v>
      </c>
      <c r="D19" s="87"/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A20" s="85" t="s">
        <v>36</v>
      </c>
      <c r="B20" s="11"/>
      <c r="C20" s="86">
        <f>P32</f>
        <v>677.65</v>
      </c>
      <c r="D20" s="87"/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A21" s="108" t="s">
        <v>40</v>
      </c>
      <c r="B21" s="109"/>
      <c r="C21" s="110">
        <f>SUM(C18,C19,C20)</f>
        <v>869.196</v>
      </c>
      <c r="D21" s="111"/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A25" s="211"/>
      <c r="B25" s="212" t="s">
        <v>76</v>
      </c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A26" s="213" t="s">
        <v>44</v>
      </c>
      <c r="B26" s="211"/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1327.135</v>
      </c>
      <c r="I30" s="38"/>
      <c r="J30" s="127" t="s">
        <v>46</v>
      </c>
      <c r="K30" s="97"/>
      <c r="L30" s="98">
        <f>K4</f>
        <v>796.281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981.61</v>
      </c>
      <c r="I31" s="129"/>
      <c r="J31" s="131" t="s">
        <v>47</v>
      </c>
      <c r="K31" s="129"/>
      <c r="L31" s="132">
        <f>SUM(L14:M17)+((L9*M9)+(L10*M10)+(L11*M11)+(L12*M12))</f>
        <v>950.26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345.525</v>
      </c>
      <c r="I32" s="17"/>
      <c r="J32" s="138" t="s">
        <v>48</v>
      </c>
      <c r="K32" s="139"/>
      <c r="L32" s="137">
        <f>L30-L31</f>
        <v>-153.979</v>
      </c>
      <c r="M32" s="140"/>
      <c r="N32" s="141" t="s">
        <v>32</v>
      </c>
      <c r="O32" s="142"/>
      <c r="P32" s="143">
        <f>SUM(P10,P14,P18)</f>
        <v>677.65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1731.88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51.92</v>
      </c>
      <c r="Q40" s="171">
        <f>SUMIF(G41:H87,"Gas",I41:I87)</f>
        <v>61.61</v>
      </c>
      <c r="R40" s="171">
        <f>SUMIF(G41:H87,"Other",I41:I87)</f>
        <v>482.41</v>
      </c>
      <c r="S40" s="171">
        <f>SUMIF(G41:H87,"Groceries",I41:I87)</f>
        <v>70</v>
      </c>
      <c r="T40" s="171">
        <f>SUMIF(G41:H87,"Dining Out",I41:I87)</f>
        <v>168.91</v>
      </c>
      <c r="U40" s="171">
        <f>SUMIF(G41:H87,"Rent",I41:I87)</f>
        <v>650</v>
      </c>
      <c r="V40" s="172">
        <f>SUMIF(G41:H87,"Shopping",I41:I87)</f>
        <v>247.03</v>
      </c>
    </row>
    <row r="41" ht="15.75" customHeight="1">
      <c r="A41" s="173" t="s">
        <v>53</v>
      </c>
      <c r="E41" s="174">
        <v>45870.0</v>
      </c>
      <c r="F41" s="175"/>
      <c r="G41" s="176" t="s">
        <v>52</v>
      </c>
      <c r="H41" s="11"/>
      <c r="I41" s="177">
        <v>6.48</v>
      </c>
      <c r="J41" s="178" t="s">
        <v>77</v>
      </c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>
        <v>45871.0</v>
      </c>
      <c r="F42" s="175"/>
      <c r="G42" s="176" t="s">
        <v>43</v>
      </c>
      <c r="H42" s="11"/>
      <c r="I42" s="182">
        <v>4.95</v>
      </c>
      <c r="J42" s="183"/>
      <c r="N42" s="9"/>
      <c r="P42" s="42">
        <f>SUM((L9*M9)+(L10*M10)+(L11*M11)+(L12*M12))</f>
        <v>51.91</v>
      </c>
    </row>
    <row r="43" ht="15.75" customHeight="1">
      <c r="A43" s="184" t="s">
        <v>45</v>
      </c>
      <c r="E43" s="174">
        <v>45872.0</v>
      </c>
      <c r="F43" s="175"/>
      <c r="G43" s="176" t="s">
        <v>53</v>
      </c>
      <c r="H43" s="11"/>
      <c r="I43" s="182">
        <v>5.11</v>
      </c>
      <c r="J43" s="183"/>
      <c r="N43" s="9"/>
    </row>
    <row r="44" ht="15.75" customHeight="1">
      <c r="E44" s="174">
        <v>45875.0</v>
      </c>
      <c r="F44" s="175"/>
      <c r="G44" s="176" t="s">
        <v>37</v>
      </c>
      <c r="H44" s="11"/>
      <c r="I44" s="182">
        <v>21.36</v>
      </c>
      <c r="J44" s="183"/>
      <c r="N44" s="9"/>
    </row>
    <row r="45" ht="15.75" customHeight="1">
      <c r="E45" s="174">
        <v>45876.0</v>
      </c>
      <c r="F45" s="175"/>
      <c r="G45" s="176" t="s">
        <v>45</v>
      </c>
      <c r="H45" s="11"/>
      <c r="I45" s="182">
        <v>103.92</v>
      </c>
      <c r="J45" s="178" t="s">
        <v>78</v>
      </c>
      <c r="N45" s="9"/>
    </row>
    <row r="46" ht="15.75" customHeight="1">
      <c r="E46" s="174">
        <v>45876.0</v>
      </c>
      <c r="F46" s="175"/>
      <c r="G46" s="176" t="s">
        <v>53</v>
      </c>
      <c r="H46" s="11"/>
      <c r="I46" s="182">
        <v>13.63</v>
      </c>
      <c r="J46" s="178" t="s">
        <v>79</v>
      </c>
      <c r="N46" s="9"/>
      <c r="Q46" s="185" t="s">
        <v>58</v>
      </c>
    </row>
    <row r="47" ht="15.75" customHeight="1">
      <c r="E47" s="174">
        <v>45877.0</v>
      </c>
      <c r="F47" s="175"/>
      <c r="G47" s="176" t="s">
        <v>52</v>
      </c>
      <c r="H47" s="11"/>
      <c r="I47" s="182">
        <v>40.04</v>
      </c>
      <c r="J47" s="215" t="s">
        <v>80</v>
      </c>
      <c r="K47" s="216"/>
      <c r="L47" s="216"/>
      <c r="M47" s="216"/>
      <c r="N47" s="13"/>
      <c r="P47" s="186" t="s">
        <v>59</v>
      </c>
      <c r="Q47" s="187">
        <v>2143.11</v>
      </c>
      <c r="S47" s="14" t="s">
        <v>48</v>
      </c>
      <c r="T47" s="217">
        <f>Q47-(Q48+Q49)</f>
        <v>1721.65</v>
      </c>
    </row>
    <row r="48" ht="15.75" customHeight="1">
      <c r="E48" s="174">
        <v>45877.0</v>
      </c>
      <c r="F48" s="175"/>
      <c r="G48" s="176" t="s">
        <v>43</v>
      </c>
      <c r="H48" s="11"/>
      <c r="I48" s="182">
        <v>5.39</v>
      </c>
      <c r="J48" s="183"/>
      <c r="N48" s="9"/>
      <c r="P48" s="188" t="s">
        <v>60</v>
      </c>
      <c r="Q48" s="189">
        <v>354.36</v>
      </c>
    </row>
    <row r="49" ht="15.75" customHeight="1">
      <c r="E49" s="174">
        <v>45877.0</v>
      </c>
      <c r="F49" s="175"/>
      <c r="G49" s="218" t="s">
        <v>53</v>
      </c>
      <c r="H49" s="11"/>
      <c r="I49" s="182">
        <v>10.0</v>
      </c>
      <c r="J49" s="178" t="s">
        <v>81</v>
      </c>
      <c r="N49" s="9"/>
      <c r="P49" s="14" t="s">
        <v>82</v>
      </c>
      <c r="Q49" s="42">
        <f>SUM(I75,I77)</f>
        <v>67.1</v>
      </c>
    </row>
    <row r="50" ht="15.75" customHeight="1">
      <c r="E50" s="174">
        <v>45877.0</v>
      </c>
      <c r="F50" s="175"/>
      <c r="G50" s="176" t="s">
        <v>53</v>
      </c>
      <c r="H50" s="11"/>
      <c r="I50" s="182">
        <v>8.66</v>
      </c>
      <c r="J50" s="178" t="s">
        <v>83</v>
      </c>
      <c r="N50" s="9"/>
    </row>
    <row r="51" ht="15.75" customHeight="1">
      <c r="E51" s="174">
        <v>45878.0</v>
      </c>
      <c r="F51" s="175"/>
      <c r="G51" s="176" t="s">
        <v>53</v>
      </c>
      <c r="H51" s="11"/>
      <c r="I51" s="182">
        <v>2.61</v>
      </c>
      <c r="J51" s="183"/>
      <c r="N51" s="9"/>
    </row>
    <row r="52" ht="15.75" customHeight="1">
      <c r="E52" s="174">
        <v>45879.0</v>
      </c>
      <c r="F52" s="175"/>
      <c r="G52" s="176" t="s">
        <v>43</v>
      </c>
      <c r="H52" s="11"/>
      <c r="I52" s="182">
        <v>10.81</v>
      </c>
      <c r="J52" s="183"/>
      <c r="N52" s="9"/>
    </row>
    <row r="53" ht="15.75" customHeight="1">
      <c r="E53" s="174">
        <v>45880.0</v>
      </c>
      <c r="F53" s="175"/>
      <c r="G53" s="176" t="s">
        <v>53</v>
      </c>
      <c r="H53" s="11"/>
      <c r="I53" s="182">
        <v>1.46</v>
      </c>
      <c r="J53" s="178" t="s">
        <v>84</v>
      </c>
      <c r="N53" s="9"/>
    </row>
    <row r="54" ht="15.75" customHeight="1">
      <c r="E54" s="174">
        <v>45880.0</v>
      </c>
      <c r="F54" s="175"/>
      <c r="G54" s="176" t="s">
        <v>53</v>
      </c>
      <c r="H54" s="11"/>
      <c r="I54" s="182">
        <v>6.23</v>
      </c>
      <c r="J54" s="178" t="s">
        <v>85</v>
      </c>
      <c r="N54" s="9"/>
    </row>
    <row r="55" ht="15.75" customHeight="1">
      <c r="E55" s="174">
        <v>45883.0</v>
      </c>
      <c r="F55" s="175"/>
      <c r="G55" s="176" t="s">
        <v>53</v>
      </c>
      <c r="H55" s="11"/>
      <c r="I55" s="182">
        <v>9.16</v>
      </c>
      <c r="J55" s="178" t="s">
        <v>86</v>
      </c>
      <c r="N55" s="9"/>
    </row>
    <row r="56" ht="15.75" customHeight="1">
      <c r="E56" s="174">
        <v>45884.0</v>
      </c>
      <c r="F56" s="175"/>
      <c r="G56" s="176" t="s">
        <v>43</v>
      </c>
      <c r="H56" s="11"/>
      <c r="I56" s="182">
        <v>15.0</v>
      </c>
      <c r="J56" s="178" t="s">
        <v>87</v>
      </c>
      <c r="N56" s="9"/>
    </row>
    <row r="57" ht="15.75" customHeight="1">
      <c r="E57" s="174">
        <v>45886.0</v>
      </c>
      <c r="F57" s="175"/>
      <c r="G57" s="176" t="s">
        <v>53</v>
      </c>
      <c r="H57" s="11"/>
      <c r="I57" s="182">
        <v>5.41</v>
      </c>
      <c r="J57" s="178" t="s">
        <v>88</v>
      </c>
      <c r="N57" s="9"/>
    </row>
    <row r="58" ht="15.75" customHeight="1">
      <c r="E58" s="174">
        <v>45888.0</v>
      </c>
      <c r="F58" s="175"/>
      <c r="G58" s="176" t="s">
        <v>52</v>
      </c>
      <c r="H58" s="11"/>
      <c r="I58" s="182">
        <v>5.4</v>
      </c>
      <c r="J58" s="178" t="s">
        <v>89</v>
      </c>
      <c r="N58" s="9"/>
    </row>
    <row r="59" ht="15.75" customHeight="1">
      <c r="E59" s="174">
        <v>45888.0</v>
      </c>
      <c r="F59" s="175"/>
      <c r="G59" s="176" t="s">
        <v>37</v>
      </c>
      <c r="H59" s="11"/>
      <c r="I59" s="182">
        <v>10.0</v>
      </c>
      <c r="J59" s="183"/>
      <c r="N59" s="9"/>
    </row>
    <row r="60" ht="15.75" customHeight="1">
      <c r="E60" s="174">
        <v>45889.0</v>
      </c>
      <c r="F60" s="175"/>
      <c r="G60" s="176" t="s">
        <v>34</v>
      </c>
      <c r="H60" s="11"/>
      <c r="I60" s="182">
        <v>70.0</v>
      </c>
      <c r="J60" s="183" t="s">
        <v>90</v>
      </c>
      <c r="N60" s="9"/>
    </row>
    <row r="61" ht="15.75" customHeight="1">
      <c r="E61" s="174">
        <v>45889.0</v>
      </c>
      <c r="F61" s="175"/>
      <c r="G61" s="190" t="s">
        <v>21</v>
      </c>
      <c r="H61" s="11"/>
      <c r="I61" s="191">
        <v>650.0</v>
      </c>
      <c r="J61" s="219" t="s">
        <v>91</v>
      </c>
      <c r="K61" s="216"/>
      <c r="L61" s="216"/>
      <c r="M61" s="216"/>
      <c r="N61" s="13"/>
    </row>
    <row r="62" ht="15.75" customHeight="1">
      <c r="E62" s="174">
        <v>45891.0</v>
      </c>
      <c r="F62" s="175"/>
      <c r="G62" s="190" t="s">
        <v>45</v>
      </c>
      <c r="H62" s="11"/>
      <c r="I62" s="182">
        <v>19.03</v>
      </c>
      <c r="J62" s="183"/>
      <c r="N62" s="9"/>
    </row>
    <row r="63" ht="15.75" customHeight="1">
      <c r="E63" s="174">
        <v>45890.0</v>
      </c>
      <c r="F63" s="175"/>
      <c r="G63" s="190" t="s">
        <v>53</v>
      </c>
      <c r="H63" s="11"/>
      <c r="I63" s="182">
        <v>2.0</v>
      </c>
      <c r="J63" s="183" t="s">
        <v>86</v>
      </c>
      <c r="N63" s="9"/>
    </row>
    <row r="64" ht="15.75" customHeight="1">
      <c r="E64" s="174">
        <v>45891.0</v>
      </c>
      <c r="F64" s="175"/>
      <c r="G64" s="190" t="s">
        <v>45</v>
      </c>
      <c r="H64" s="11"/>
      <c r="I64" s="182">
        <v>19.03</v>
      </c>
      <c r="J64" s="183" t="s">
        <v>92</v>
      </c>
      <c r="N64" s="9"/>
    </row>
    <row r="65" ht="15.75" customHeight="1">
      <c r="E65" s="174">
        <v>45891.0</v>
      </c>
      <c r="F65" s="175"/>
      <c r="G65" s="190" t="s">
        <v>37</v>
      </c>
      <c r="H65" s="11"/>
      <c r="I65" s="182">
        <v>30.25</v>
      </c>
      <c r="J65" s="183"/>
      <c r="N65" s="9"/>
    </row>
    <row r="66" ht="15.75" customHeight="1">
      <c r="E66" s="174">
        <v>45892.0</v>
      </c>
      <c r="F66" s="175"/>
      <c r="G66" s="190" t="s">
        <v>43</v>
      </c>
      <c r="H66" s="11"/>
      <c r="I66" s="182">
        <v>330.64</v>
      </c>
      <c r="J66" s="183" t="s">
        <v>93</v>
      </c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>
        <v>45892.0</v>
      </c>
      <c r="F68" s="175"/>
      <c r="G68" s="190" t="s">
        <v>45</v>
      </c>
      <c r="H68" s="11"/>
      <c r="I68" s="182">
        <v>18.16</v>
      </c>
      <c r="J68" s="183" t="s">
        <v>94</v>
      </c>
      <c r="N68" s="9"/>
    </row>
    <row r="69" ht="15.75" customHeight="1">
      <c r="E69" s="174">
        <v>45892.0</v>
      </c>
      <c r="F69" s="175"/>
      <c r="G69" s="190" t="s">
        <v>45</v>
      </c>
      <c r="H69" s="11"/>
      <c r="I69" s="182">
        <v>22.0</v>
      </c>
      <c r="J69" s="183" t="s">
        <v>92</v>
      </c>
      <c r="N69" s="9"/>
    </row>
    <row r="70" ht="15.75" customHeight="1">
      <c r="E70" s="174">
        <v>45893.0</v>
      </c>
      <c r="F70" s="175"/>
      <c r="G70" s="190" t="s">
        <v>53</v>
      </c>
      <c r="H70" s="11"/>
      <c r="I70" s="182">
        <v>2.0</v>
      </c>
      <c r="J70" s="183" t="s">
        <v>86</v>
      </c>
      <c r="N70" s="9"/>
    </row>
    <row r="71" ht="15.75" customHeight="1">
      <c r="E71" s="174">
        <v>45893.0</v>
      </c>
      <c r="F71" s="175"/>
      <c r="G71" s="190" t="s">
        <v>53</v>
      </c>
      <c r="H71" s="11"/>
      <c r="I71" s="182">
        <v>16.54</v>
      </c>
      <c r="J71" s="183" t="s">
        <v>95</v>
      </c>
      <c r="N71" s="9"/>
    </row>
    <row r="72" ht="15.75" customHeight="1">
      <c r="E72" s="174">
        <v>45894.0</v>
      </c>
      <c r="F72" s="175"/>
      <c r="G72" s="190" t="s">
        <v>53</v>
      </c>
      <c r="H72" s="11"/>
      <c r="I72" s="182">
        <v>10.81</v>
      </c>
      <c r="J72" s="183" t="s">
        <v>84</v>
      </c>
      <c r="N72" s="9"/>
    </row>
    <row r="73" ht="15.75" customHeight="1">
      <c r="E73" s="174">
        <v>45895.0</v>
      </c>
      <c r="F73" s="175"/>
      <c r="G73" s="190" t="s">
        <v>53</v>
      </c>
      <c r="H73" s="11"/>
      <c r="I73" s="182">
        <v>6.47</v>
      </c>
      <c r="J73" s="183" t="s">
        <v>96</v>
      </c>
      <c r="N73" s="9"/>
    </row>
    <row r="74" ht="15.75" customHeight="1">
      <c r="E74" s="174">
        <v>45895.0</v>
      </c>
      <c r="F74" s="175"/>
      <c r="G74" s="190" t="s">
        <v>53</v>
      </c>
      <c r="H74" s="11"/>
      <c r="I74" s="182">
        <v>9.18</v>
      </c>
      <c r="J74" s="183" t="s">
        <v>96</v>
      </c>
      <c r="N74" s="9"/>
    </row>
    <row r="75" ht="15.75" customHeight="1">
      <c r="E75" s="174">
        <v>45895.0</v>
      </c>
      <c r="F75" s="175"/>
      <c r="G75" s="190" t="s">
        <v>43</v>
      </c>
      <c r="H75" s="11"/>
      <c r="I75" s="182">
        <v>34.64</v>
      </c>
      <c r="J75" s="219" t="s">
        <v>97</v>
      </c>
      <c r="K75" s="216"/>
      <c r="L75" s="216"/>
      <c r="M75" s="216"/>
      <c r="N75" s="13"/>
    </row>
    <row r="76" ht="15.75" customHeight="1">
      <c r="E76" s="174">
        <v>45896.0</v>
      </c>
      <c r="F76" s="175"/>
      <c r="G76" s="190" t="s">
        <v>53</v>
      </c>
      <c r="H76" s="11"/>
      <c r="I76" s="182">
        <v>9.93</v>
      </c>
      <c r="J76" s="183" t="s">
        <v>98</v>
      </c>
      <c r="N76" s="9"/>
    </row>
    <row r="77" ht="15.75" customHeight="1">
      <c r="E77" s="174">
        <v>45897.0</v>
      </c>
      <c r="F77" s="175"/>
      <c r="G77" s="190" t="s">
        <v>43</v>
      </c>
      <c r="H77" s="11"/>
      <c r="I77" s="182">
        <v>32.46</v>
      </c>
      <c r="J77" s="219" t="s">
        <v>99</v>
      </c>
      <c r="K77" s="216"/>
      <c r="L77" s="216"/>
      <c r="M77" s="216"/>
      <c r="N77" s="13"/>
    </row>
    <row r="78" ht="15.75" customHeight="1">
      <c r="E78" s="174">
        <v>45898.0</v>
      </c>
      <c r="F78" s="175"/>
      <c r="G78" s="190" t="s">
        <v>53</v>
      </c>
      <c r="H78" s="11"/>
      <c r="I78" s="182">
        <v>10.22</v>
      </c>
      <c r="J78" s="183" t="s">
        <v>86</v>
      </c>
      <c r="N78" s="9"/>
    </row>
    <row r="79" ht="15.75" customHeight="1">
      <c r="E79" s="174">
        <v>45898.0</v>
      </c>
      <c r="F79" s="175"/>
      <c r="G79" s="190" t="s">
        <v>53</v>
      </c>
      <c r="H79" s="11"/>
      <c r="I79" s="182">
        <v>2.61</v>
      </c>
      <c r="J79" s="183" t="s">
        <v>86</v>
      </c>
      <c r="N79" s="9"/>
    </row>
    <row r="80" ht="15.75" customHeight="1">
      <c r="E80" s="174">
        <v>45898.0</v>
      </c>
      <c r="F80" s="175"/>
      <c r="G80" s="190" t="s">
        <v>53</v>
      </c>
      <c r="H80" s="11"/>
      <c r="I80" s="182">
        <v>11.46</v>
      </c>
      <c r="J80" s="183" t="s">
        <v>100</v>
      </c>
      <c r="N80" s="9"/>
    </row>
    <row r="81" ht="15.75" customHeight="1">
      <c r="E81" s="174">
        <v>45899.0</v>
      </c>
      <c r="F81" s="175"/>
      <c r="G81" s="190" t="s">
        <v>53</v>
      </c>
      <c r="H81" s="11"/>
      <c r="I81" s="182">
        <v>3.6</v>
      </c>
      <c r="J81" s="183" t="s">
        <v>101</v>
      </c>
      <c r="N81" s="9"/>
    </row>
    <row r="82" ht="15.75" customHeight="1">
      <c r="E82" s="174">
        <v>45899.0</v>
      </c>
      <c r="F82" s="175"/>
      <c r="G82" s="190" t="s">
        <v>45</v>
      </c>
      <c r="H82" s="11"/>
      <c r="I82" s="182">
        <v>64.89</v>
      </c>
      <c r="J82" s="183" t="s">
        <v>102</v>
      </c>
      <c r="N82" s="9"/>
    </row>
    <row r="83" ht="15.75" customHeight="1">
      <c r="E83" s="174">
        <v>45899.0</v>
      </c>
      <c r="F83" s="175"/>
      <c r="G83" s="190" t="s">
        <v>43</v>
      </c>
      <c r="H83" s="11"/>
      <c r="I83" s="182">
        <v>48.52</v>
      </c>
      <c r="J83" s="183"/>
      <c r="N83" s="9"/>
    </row>
    <row r="84" ht="15.75" customHeight="1">
      <c r="E84" s="174">
        <v>45900.0</v>
      </c>
      <c r="F84" s="175"/>
      <c r="G84" s="190" t="s">
        <v>53</v>
      </c>
      <c r="H84" s="11"/>
      <c r="I84" s="182">
        <v>21.82</v>
      </c>
      <c r="J84" s="183" t="s">
        <v>103</v>
      </c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G79:H79"/>
    <mergeCell ref="E80:F80"/>
    <mergeCell ref="G80:H80"/>
    <mergeCell ref="E84:F84"/>
    <mergeCell ref="E85:F85"/>
    <mergeCell ref="E86:F86"/>
    <mergeCell ref="G85:H85"/>
    <mergeCell ref="G86:H86"/>
    <mergeCell ref="E81:F81"/>
    <mergeCell ref="G81:H81"/>
    <mergeCell ref="E82:F82"/>
    <mergeCell ref="G82:H82"/>
    <mergeCell ref="E83:F83"/>
    <mergeCell ref="G83:H83"/>
    <mergeCell ref="G84:H84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A1:D3"/>
    <mergeCell ref="I1:J1"/>
    <mergeCell ref="K1:L1"/>
    <mergeCell ref="I2:J2"/>
    <mergeCell ref="K2:L2"/>
    <mergeCell ref="K3:L3"/>
    <mergeCell ref="K4:L4"/>
    <mergeCell ref="J8:K8"/>
    <mergeCell ref="L8:M8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F14:G14"/>
    <mergeCell ref="F15:G15"/>
    <mergeCell ref="H15:I15"/>
    <mergeCell ref="J15:K15"/>
    <mergeCell ref="H16:I16"/>
    <mergeCell ref="J16:K16"/>
    <mergeCell ref="L16:M16"/>
    <mergeCell ref="F17:G17"/>
    <mergeCell ref="F18:G18"/>
    <mergeCell ref="H21:I21"/>
    <mergeCell ref="J21:K21"/>
    <mergeCell ref="H22:I22"/>
    <mergeCell ref="J22:K22"/>
    <mergeCell ref="L22:M22"/>
    <mergeCell ref="J23:K23"/>
    <mergeCell ref="L23:M23"/>
    <mergeCell ref="H23:I23"/>
    <mergeCell ref="H24:I24"/>
    <mergeCell ref="J24:K24"/>
    <mergeCell ref="L24:M24"/>
    <mergeCell ref="H25:I25"/>
    <mergeCell ref="J25:K25"/>
    <mergeCell ref="L25:M25"/>
    <mergeCell ref="F29:G29"/>
    <mergeCell ref="F30:G30"/>
    <mergeCell ref="F31:G31"/>
    <mergeCell ref="F32:G32"/>
    <mergeCell ref="F20:G20"/>
    <mergeCell ref="F21:G21"/>
    <mergeCell ref="F22:G22"/>
    <mergeCell ref="F23:G23"/>
    <mergeCell ref="F24:G24"/>
    <mergeCell ref="F25:G25"/>
    <mergeCell ref="F26:G26"/>
    <mergeCell ref="A11:B11"/>
    <mergeCell ref="A12:B12"/>
    <mergeCell ref="A13:B13"/>
    <mergeCell ref="H14:I14"/>
    <mergeCell ref="J14:K14"/>
    <mergeCell ref="L14:M14"/>
    <mergeCell ref="L15:M15"/>
    <mergeCell ref="H18:I18"/>
    <mergeCell ref="J18:K18"/>
    <mergeCell ref="A15:D17"/>
    <mergeCell ref="F16:G16"/>
    <mergeCell ref="H17:I17"/>
    <mergeCell ref="J17:K17"/>
    <mergeCell ref="L17:M17"/>
    <mergeCell ref="C18:D18"/>
    <mergeCell ref="L18:M18"/>
    <mergeCell ref="A18:B18"/>
    <mergeCell ref="A19:B19"/>
    <mergeCell ref="C19:D19"/>
    <mergeCell ref="F19:G19"/>
    <mergeCell ref="H19:I19"/>
    <mergeCell ref="J19:K19"/>
    <mergeCell ref="L19:M19"/>
    <mergeCell ref="A20:B20"/>
    <mergeCell ref="C20:D20"/>
    <mergeCell ref="H20:I20"/>
    <mergeCell ref="J20:K20"/>
    <mergeCell ref="L20:M20"/>
    <mergeCell ref="A21:B21"/>
    <mergeCell ref="C21:D21"/>
    <mergeCell ref="L21:M21"/>
    <mergeCell ref="H26:I26"/>
    <mergeCell ref="J26:K26"/>
    <mergeCell ref="L26:M26"/>
    <mergeCell ref="H27:I27"/>
    <mergeCell ref="J27:K27"/>
    <mergeCell ref="L27:M27"/>
    <mergeCell ref="H32:I32"/>
    <mergeCell ref="J32:K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F28:G28"/>
    <mergeCell ref="H28:I28"/>
    <mergeCell ref="J28:K28"/>
    <mergeCell ref="L28:M28"/>
    <mergeCell ref="J29:K29"/>
    <mergeCell ref="L29:M29"/>
    <mergeCell ref="H29:I29"/>
    <mergeCell ref="H30:I30"/>
    <mergeCell ref="J30:K30"/>
    <mergeCell ref="L30:M30"/>
    <mergeCell ref="H31:I31"/>
    <mergeCell ref="J31:K31"/>
    <mergeCell ref="L31:M31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G77:H77"/>
    <mergeCell ref="G78:H78"/>
    <mergeCell ref="G70:H70"/>
    <mergeCell ref="G71:H71"/>
    <mergeCell ref="G72:H72"/>
    <mergeCell ref="G73:H73"/>
    <mergeCell ref="G74:H74"/>
    <mergeCell ref="G75:H75"/>
    <mergeCell ref="G76:H76"/>
  </mergeCells>
  <conditionalFormatting sqref="C21">
    <cfRule type="cellIs" dxfId="7" priority="1" operator="lessThan">
      <formula>0</formula>
    </cfRule>
  </conditionalFormatting>
  <conditionalFormatting sqref="C21">
    <cfRule type="cellIs" dxfId="8" priority="2" operator="greaterThan">
      <formula>0</formula>
    </cfRule>
  </conditionalFormatting>
  <conditionalFormatting sqref="G41:H86">
    <cfRule type="cellIs" dxfId="0" priority="3" operator="equal">
      <formula>"Groceries"</formula>
    </cfRule>
  </conditionalFormatting>
  <conditionalFormatting sqref="G41:H86">
    <cfRule type="containsText" dxfId="1" priority="4" operator="containsText" text="Shopping">
      <formula>NOT(ISERROR(SEARCH(("Shopping"),(G41))))</formula>
    </cfRule>
  </conditionalFormatting>
  <conditionalFormatting sqref="G41:H86">
    <cfRule type="containsText" dxfId="2" priority="5" operator="containsText" text="Rent">
      <formula>NOT(ISERROR(SEARCH(("Rent"),(G41))))</formula>
    </cfRule>
  </conditionalFormatting>
  <conditionalFormatting sqref="G41:H86">
    <cfRule type="containsText" dxfId="3" priority="6" operator="containsText" text="Dining Out">
      <formula>NOT(ISERROR(SEARCH(("Dining Out"),(G41))))</formula>
    </cfRule>
  </conditionalFormatting>
  <conditionalFormatting sqref="G41:H86">
    <cfRule type="containsText" dxfId="4" priority="7" operator="containsText" text="Other">
      <formula>NOT(ISERROR(SEARCH(("Other"),(G41))))</formula>
    </cfRule>
  </conditionalFormatting>
  <conditionalFormatting sqref="G41:H86">
    <cfRule type="containsText" dxfId="5" priority="8" operator="containsText" text="Gas">
      <formula>NOT(ISERROR(SEARCH(("Gas"),(G41))))</formula>
    </cfRule>
  </conditionalFormatting>
  <conditionalFormatting sqref="G41:H86">
    <cfRule type="containsText" dxfId="6" priority="9" operator="containsText" text="Subscriptions">
      <formula>NOT(ISERROR(SEARCH(("Subscriptions"),(G41))))</formula>
    </cfRule>
  </conditionalFormatting>
  <conditionalFormatting sqref="H32:I32">
    <cfRule type="cellIs" dxfId="7" priority="10" operator="lessThan">
      <formula>0</formula>
    </cfRule>
  </conditionalFormatting>
  <conditionalFormatting sqref="H32:I32">
    <cfRule type="cellIs" dxfId="8" priority="11" operator="greaterThan">
      <formula>0</formula>
    </cfRule>
  </conditionalFormatting>
  <conditionalFormatting sqref="L32:M32">
    <cfRule type="cellIs" dxfId="7" priority="12" operator="lessThan">
      <formula>0</formula>
    </cfRule>
  </conditionalFormatting>
  <conditionalFormatting sqref="L32:M32">
    <cfRule type="cellIs" dxfId="8" priority="13" operator="greaterThan">
      <formula>0</formula>
    </cfRule>
  </conditionalFormatting>
  <conditionalFormatting sqref="P32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2197.536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1098.768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659.2608</v>
      </c>
      <c r="L4" s="9"/>
    </row>
    <row r="5" ht="15.75" customHeight="1">
      <c r="A5" s="24" t="s">
        <v>8</v>
      </c>
      <c r="B5" s="25"/>
      <c r="C5" s="26">
        <v>1193.34</v>
      </c>
      <c r="D5" s="23"/>
      <c r="I5" s="27" t="s">
        <v>9</v>
      </c>
      <c r="J5" s="28"/>
      <c r="K5" s="22">
        <f>IF(K2="50/30/20",(K1*0.2), IF(K2="70/20/10",(K1*0.1)))</f>
        <v>439.5072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220" t="s">
        <v>13</v>
      </c>
      <c r="O6" s="87"/>
      <c r="P6" s="119"/>
    </row>
    <row r="7" ht="15.75" customHeight="1">
      <c r="A7" s="35"/>
      <c r="B7" s="25"/>
      <c r="C7" s="22"/>
      <c r="D7" s="23">
        <f>SUM(C5:C6)</f>
        <v>1193.34</v>
      </c>
      <c r="F7" s="36"/>
      <c r="G7" s="37"/>
      <c r="H7" s="37"/>
      <c r="I7" s="38"/>
      <c r="J7" s="39"/>
      <c r="K7" s="16"/>
      <c r="L7" s="16"/>
      <c r="M7" s="40"/>
      <c r="N7" s="221"/>
      <c r="O7" s="79"/>
      <c r="P7" s="167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222" t="s">
        <v>14</v>
      </c>
      <c r="O8" s="42"/>
      <c r="P8" s="223"/>
    </row>
    <row r="9" ht="15.75" customHeight="1">
      <c r="A9" s="55" t="s">
        <v>8</v>
      </c>
      <c r="B9" s="25"/>
      <c r="C9" s="56">
        <v>135.0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224" t="s">
        <v>8</v>
      </c>
      <c r="O9" s="54"/>
      <c r="P9" s="223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224" t="s">
        <v>10</v>
      </c>
      <c r="O10" s="54">
        <v>0.0</v>
      </c>
      <c r="P10" s="225"/>
      <c r="R10" s="8"/>
      <c r="U10" s="9"/>
    </row>
    <row r="11" ht="15.75" customHeight="1">
      <c r="A11" s="75"/>
      <c r="B11" s="25"/>
      <c r="C11" s="76"/>
      <c r="D11" s="77">
        <f>SUM(C9:C10)</f>
        <v>135</v>
      </c>
      <c r="F11" s="69"/>
      <c r="I11" s="70"/>
      <c r="N11" s="226"/>
      <c r="O11" s="42"/>
      <c r="P11" s="223">
        <f>SUM(O9,O10)</f>
        <v>0</v>
      </c>
      <c r="R11" s="78"/>
      <c r="S11" s="79"/>
      <c r="T11" s="79"/>
      <c r="U11" s="80"/>
    </row>
    <row r="12" ht="15.75" customHeight="1">
      <c r="A12" s="81" t="s">
        <v>28</v>
      </c>
      <c r="B12" s="82"/>
      <c r="C12" s="209">
        <f>B19</f>
        <v>869.196</v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1</v>
      </c>
      <c r="N12" s="222" t="s">
        <v>27</v>
      </c>
      <c r="O12" s="42"/>
      <c r="P12" s="22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2197.536</v>
      </c>
      <c r="F13" s="92"/>
      <c r="G13" s="93"/>
      <c r="H13" s="93"/>
      <c r="I13" s="94"/>
      <c r="J13" s="93"/>
      <c r="K13" s="93"/>
      <c r="L13" s="93"/>
      <c r="M13" s="93"/>
      <c r="N13" s="224" t="s">
        <v>8</v>
      </c>
      <c r="O13" s="54">
        <v>265.67</v>
      </c>
      <c r="P13" s="223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>
        <f>T40</f>
        <v>51.54</v>
      </c>
      <c r="M14" s="11"/>
      <c r="N14" s="224" t="s">
        <v>10</v>
      </c>
      <c r="O14" s="95"/>
      <c r="P14" s="225"/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32.24</v>
      </c>
      <c r="I15" s="11"/>
      <c r="J15" s="105" t="s">
        <v>38</v>
      </c>
      <c r="K15" s="11"/>
      <c r="L15" s="101">
        <v>0.0</v>
      </c>
      <c r="M15" s="11"/>
      <c r="N15" s="226"/>
      <c r="O15" s="42"/>
      <c r="P15" s="223">
        <f>SUM(O13,O14)</f>
        <v>265.67</v>
      </c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55.04</v>
      </c>
      <c r="M16" s="11"/>
      <c r="N16" s="227" t="s">
        <v>39</v>
      </c>
      <c r="P16" s="226"/>
    </row>
    <row r="17" ht="15.75" customHeight="1">
      <c r="F17" s="118"/>
      <c r="G17" s="119"/>
      <c r="H17" s="120"/>
      <c r="I17" s="11"/>
      <c r="J17" s="121" t="s">
        <v>45</v>
      </c>
      <c r="K17" s="11"/>
      <c r="L17" s="101">
        <f>V40</f>
        <v>24.33</v>
      </c>
      <c r="M17" s="11"/>
      <c r="N17" s="228" t="s">
        <v>8</v>
      </c>
      <c r="O17" s="116">
        <v>100.0</v>
      </c>
      <c r="P17" s="226"/>
    </row>
    <row r="18" ht="15.75" customHeight="1">
      <c r="A18" s="211"/>
      <c r="B18" s="212" t="s">
        <v>76</v>
      </c>
      <c r="F18" s="118"/>
      <c r="G18" s="119"/>
      <c r="H18" s="120"/>
      <c r="I18" s="11"/>
      <c r="J18" s="120"/>
      <c r="K18" s="11"/>
      <c r="L18" s="120"/>
      <c r="M18" s="11"/>
      <c r="N18" s="228" t="s">
        <v>10</v>
      </c>
      <c r="O18" s="116">
        <v>0.0</v>
      </c>
      <c r="P18" s="229"/>
    </row>
    <row r="19" ht="15.75" customHeight="1" outlineLevel="1">
      <c r="A19" s="213" t="s">
        <v>44</v>
      </c>
      <c r="B19" s="230">
        <f>Aug!C21</f>
        <v>869.196</v>
      </c>
      <c r="F19" s="118"/>
      <c r="G19" s="119"/>
      <c r="H19" s="120"/>
      <c r="I19" s="11"/>
      <c r="J19" s="120"/>
      <c r="K19" s="11"/>
      <c r="L19" s="120"/>
      <c r="M19" s="11"/>
      <c r="N19" s="226"/>
      <c r="P19" s="223">
        <f>SUM(O17:O18)</f>
        <v>100</v>
      </c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226"/>
      <c r="P20" s="226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226"/>
      <c r="P21" s="226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226"/>
      <c r="P22" s="226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226"/>
      <c r="P23" s="226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226"/>
      <c r="P24" s="226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226"/>
      <c r="P25" s="226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226"/>
      <c r="P26" s="226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226"/>
      <c r="P27" s="226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226"/>
      <c r="P28" s="226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226"/>
      <c r="P29" s="226"/>
    </row>
    <row r="30" ht="15.75" customHeight="1">
      <c r="F30" s="125" t="s">
        <v>46</v>
      </c>
      <c r="G30" s="21"/>
      <c r="H30" s="126">
        <f>K3</f>
        <v>1098.768</v>
      </c>
      <c r="I30" s="38"/>
      <c r="J30" s="127" t="s">
        <v>46</v>
      </c>
      <c r="K30" s="97"/>
      <c r="L30" s="98">
        <f>K4</f>
        <v>659.2608</v>
      </c>
      <c r="M30" s="99"/>
      <c r="N30" s="226"/>
      <c r="P30" s="226"/>
    </row>
    <row r="31" ht="15.75" customHeight="1">
      <c r="F31" s="128" t="s">
        <v>47</v>
      </c>
      <c r="G31" s="129"/>
      <c r="H31" s="130">
        <f>SUM(H14:I16)+(H9*I9)</f>
        <v>232.24</v>
      </c>
      <c r="I31" s="129"/>
      <c r="J31" s="131" t="s">
        <v>47</v>
      </c>
      <c r="K31" s="129"/>
      <c r="L31" s="132">
        <f>SUM(L14:M17)+((L9*M9)+(L10*M10)+(L11*M11)+(L12*M12))</f>
        <v>137.39</v>
      </c>
      <c r="M31" s="82"/>
      <c r="N31" s="231"/>
      <c r="O31" s="232"/>
      <c r="P31" s="231"/>
    </row>
    <row r="32" ht="15.75" customHeight="1">
      <c r="F32" s="136" t="s">
        <v>48</v>
      </c>
      <c r="G32" s="89"/>
      <c r="H32" s="137">
        <f>SUM(H30-H31)</f>
        <v>866.528</v>
      </c>
      <c r="I32" s="17"/>
      <c r="J32" s="138" t="s">
        <v>48</v>
      </c>
      <c r="K32" s="139"/>
      <c r="L32" s="137">
        <f>L30-L31</f>
        <v>521.8708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163.15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32.24</v>
      </c>
      <c r="R40" s="171">
        <f>SUMIF(G41:H87,"Other",I41:I87)</f>
        <v>55.04</v>
      </c>
      <c r="S40" s="171">
        <f>SUMIF(G41:H87,"Groceries",I41:I87)</f>
        <v>0</v>
      </c>
      <c r="T40" s="171">
        <f>SUMIF(G41:H87,"Dining Out",I41:I87)</f>
        <v>51.54</v>
      </c>
      <c r="U40" s="171">
        <f>SUMIF(G41:H87,"Rent",I41:I87)</f>
        <v>0</v>
      </c>
      <c r="V40" s="172">
        <f>SUMIF(G41:H87,"Shopping",I41:I87)</f>
        <v>24.33</v>
      </c>
    </row>
    <row r="41" ht="15.75" customHeight="1">
      <c r="A41" s="173" t="s">
        <v>53</v>
      </c>
      <c r="E41" s="174">
        <v>45901.0</v>
      </c>
      <c r="F41" s="175"/>
      <c r="G41" s="176" t="s">
        <v>45</v>
      </c>
      <c r="H41" s="11"/>
      <c r="I41" s="177">
        <v>24.33</v>
      </c>
      <c r="J41" s="178" t="s">
        <v>104</v>
      </c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>
        <v>45902.0</v>
      </c>
      <c r="F42" s="175"/>
      <c r="G42" s="176" t="s">
        <v>43</v>
      </c>
      <c r="H42" s="11"/>
      <c r="I42" s="182">
        <v>55.04</v>
      </c>
      <c r="J42" s="183" t="s">
        <v>26</v>
      </c>
      <c r="N42" s="9"/>
      <c r="P42" s="42">
        <f>SUM((L9*M9)+(L10*M10)+(L11*M11)+(L12*M12))</f>
        <v>6.48</v>
      </c>
    </row>
    <row r="43" ht="15.75" customHeight="1">
      <c r="A43" s="184" t="s">
        <v>45</v>
      </c>
      <c r="E43" s="174">
        <v>45902.0</v>
      </c>
      <c r="F43" s="175"/>
      <c r="G43" s="176" t="s">
        <v>53</v>
      </c>
      <c r="H43" s="11"/>
      <c r="I43" s="182">
        <v>2.61</v>
      </c>
      <c r="J43" s="183" t="s">
        <v>86</v>
      </c>
      <c r="N43" s="9"/>
    </row>
    <row r="44" ht="15.75" customHeight="1">
      <c r="E44" s="174">
        <v>45902.0</v>
      </c>
      <c r="F44" s="175"/>
      <c r="G44" s="176" t="s">
        <v>53</v>
      </c>
      <c r="H44" s="11"/>
      <c r="I44" s="182">
        <v>9.77</v>
      </c>
      <c r="J44" s="183" t="s">
        <v>105</v>
      </c>
      <c r="N44" s="9"/>
    </row>
    <row r="45" ht="15.75" customHeight="1">
      <c r="E45" s="174">
        <v>45902.0</v>
      </c>
      <c r="F45" s="175"/>
      <c r="G45" s="176" t="s">
        <v>53</v>
      </c>
      <c r="H45" s="11"/>
      <c r="I45" s="182">
        <v>2.76</v>
      </c>
      <c r="J45" s="178" t="s">
        <v>86</v>
      </c>
      <c r="N45" s="9"/>
    </row>
    <row r="46" ht="15.75" customHeight="1">
      <c r="E46" s="174">
        <v>45902.0</v>
      </c>
      <c r="F46" s="175"/>
      <c r="G46" s="176" t="s">
        <v>53</v>
      </c>
      <c r="H46" s="11"/>
      <c r="I46" s="182">
        <v>7.53</v>
      </c>
      <c r="J46" s="178" t="s">
        <v>106</v>
      </c>
      <c r="N46" s="9"/>
      <c r="Q46" s="185" t="s">
        <v>58</v>
      </c>
    </row>
    <row r="47" ht="15.75" customHeight="1">
      <c r="E47" s="174">
        <v>45903.0</v>
      </c>
      <c r="F47" s="175"/>
      <c r="G47" s="176" t="s">
        <v>53</v>
      </c>
      <c r="H47" s="11"/>
      <c r="I47" s="182">
        <v>21.16</v>
      </c>
      <c r="J47" s="178" t="s">
        <v>107</v>
      </c>
      <c r="N47" s="9"/>
      <c r="P47" s="186" t="s">
        <v>59</v>
      </c>
      <c r="Q47" s="187"/>
    </row>
    <row r="48" ht="15.75" customHeight="1">
      <c r="E48" s="174">
        <v>45903.0</v>
      </c>
      <c r="F48" s="175"/>
      <c r="G48" s="176" t="s">
        <v>53</v>
      </c>
      <c r="H48" s="11"/>
      <c r="I48" s="182">
        <v>7.71</v>
      </c>
      <c r="J48" s="183" t="s">
        <v>98</v>
      </c>
      <c r="N48" s="9"/>
      <c r="P48" s="188" t="s">
        <v>60</v>
      </c>
      <c r="Q48" s="189"/>
    </row>
    <row r="49" ht="15.75" customHeight="1">
      <c r="E49" s="174">
        <v>45903.0</v>
      </c>
      <c r="F49" s="175"/>
      <c r="G49" s="176" t="s">
        <v>37</v>
      </c>
      <c r="H49" s="11"/>
      <c r="I49" s="182">
        <v>32.24</v>
      </c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7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 t="str">
        <f>B20</f>
        <v/>
      </c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A19" s="211"/>
      <c r="B19" s="212" t="s">
        <v>76</v>
      </c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A20" s="213" t="s">
        <v>44</v>
      </c>
      <c r="B20" s="211"/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/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A18" s="211"/>
      <c r="B18" s="212" t="s">
        <v>76</v>
      </c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A19" s="213" t="s">
        <v>44</v>
      </c>
      <c r="B19" s="214" t="str">
        <f>C12</f>
        <v/>
      </c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22.11"/>
    <col customWidth="1" min="2" max="2" width="13.33"/>
    <col customWidth="1" min="3" max="4" width="11.44"/>
    <col customWidth="1" min="5" max="5" width="14.33"/>
    <col customWidth="1" min="6" max="6" width="6.33"/>
    <col customWidth="1" min="7" max="7" width="12.11"/>
    <col customWidth="1" min="8" max="8" width="10.0"/>
    <col customWidth="1" min="9" max="9" width="15.0"/>
    <col customWidth="1" min="10" max="11" width="12.67"/>
    <col customWidth="1" min="12" max="12" width="16.44"/>
    <col customWidth="1" min="13" max="13" width="14.78"/>
    <col customWidth="1" min="14" max="14" width="20.0"/>
    <col customWidth="1" min="15" max="15" width="11.0"/>
    <col customWidth="1" min="16" max="16" width="21.0"/>
    <col customWidth="1" min="17" max="17" width="13.78"/>
    <col customWidth="1" min="18" max="19" width="11.0"/>
    <col customWidth="1" min="20" max="22" width="10.56"/>
    <col customWidth="1" min="23" max="23" width="11.0"/>
    <col customWidth="1" min="24" max="24" width="20.0"/>
    <col customWidth="1" min="25" max="25" width="15.0"/>
    <col customWidth="1" min="26" max="26" width="11.0"/>
    <col customWidth="1" min="27" max="27" width="15.11"/>
    <col customWidth="1" min="28" max="28" width="14.33"/>
    <col customWidth="1" min="29" max="29" width="11.0"/>
    <col customWidth="1" min="30" max="32" width="10.56"/>
    <col customWidth="1" min="33" max="33" width="11.0"/>
    <col customWidth="1" min="34" max="34" width="20.0"/>
    <col customWidth="1" min="35" max="36" width="11.0"/>
    <col customWidth="1" min="37" max="37" width="15.11"/>
    <col customWidth="1" min="38" max="38" width="14.33"/>
    <col customWidth="1" min="39" max="41" width="11.0"/>
  </cols>
  <sheetData>
    <row r="1" ht="15.75" customHeight="1">
      <c r="A1" s="1" t="s">
        <v>0</v>
      </c>
      <c r="B1" s="2"/>
      <c r="C1" s="2"/>
      <c r="D1" s="3"/>
      <c r="I1" s="4" t="s">
        <v>1</v>
      </c>
      <c r="J1" s="5"/>
      <c r="K1" s="6">
        <f>D13</f>
        <v>0</v>
      </c>
      <c r="L1" s="7"/>
    </row>
    <row r="2" ht="15.75" customHeight="1">
      <c r="A2" s="8"/>
      <c r="D2" s="9"/>
      <c r="I2" s="10" t="s">
        <v>2</v>
      </c>
      <c r="J2" s="11"/>
      <c r="K2" s="12" t="s">
        <v>3</v>
      </c>
      <c r="L2" s="13"/>
      <c r="M2" s="14" t="s">
        <v>4</v>
      </c>
    </row>
    <row r="3" ht="15.75" customHeight="1">
      <c r="A3" s="15"/>
      <c r="B3" s="16"/>
      <c r="C3" s="16"/>
      <c r="D3" s="17"/>
      <c r="I3" s="18" t="s">
        <v>5</v>
      </c>
      <c r="J3" s="11"/>
      <c r="K3" s="19">
        <f>IF(K2="50/30/20",(K1*0.5), IF(K2="70/20/10",(K1*0.7)))</f>
        <v>0</v>
      </c>
      <c r="L3" s="9"/>
    </row>
    <row r="4" ht="15.75" customHeight="1">
      <c r="A4" s="20" t="s">
        <v>6</v>
      </c>
      <c r="B4" s="21"/>
      <c r="C4" s="22"/>
      <c r="D4" s="23"/>
      <c r="I4" s="18" t="s">
        <v>7</v>
      </c>
      <c r="J4" s="11"/>
      <c r="K4" s="22">
        <f>IF(K2="50/30/20",(K1*0.3), IF(K2="70/20/10",(K1*0.2)))</f>
        <v>0</v>
      </c>
      <c r="L4" s="9"/>
    </row>
    <row r="5" ht="15.75" customHeight="1">
      <c r="A5" s="24" t="s">
        <v>8</v>
      </c>
      <c r="B5" s="25"/>
      <c r="C5" s="26">
        <v>0.0</v>
      </c>
      <c r="D5" s="23"/>
      <c r="I5" s="27" t="s">
        <v>9</v>
      </c>
      <c r="J5" s="28"/>
      <c r="K5" s="22">
        <f>IF(K2="50/30/20",(K1*0.2), IF(K2="70/20/10",(K1*0.1)))</f>
        <v>0</v>
      </c>
      <c r="L5" s="9"/>
    </row>
    <row r="6" ht="15.75" customHeight="1">
      <c r="A6" s="24" t="s">
        <v>10</v>
      </c>
      <c r="B6" s="25"/>
      <c r="C6" s="26">
        <v>0.0</v>
      </c>
      <c r="D6" s="29"/>
      <c r="F6" s="30" t="s">
        <v>11</v>
      </c>
      <c r="G6" s="2"/>
      <c r="H6" s="2"/>
      <c r="I6" s="3"/>
      <c r="J6" s="31" t="s">
        <v>12</v>
      </c>
      <c r="K6" s="2"/>
      <c r="L6" s="2"/>
      <c r="M6" s="32"/>
      <c r="N6" s="33" t="s">
        <v>13</v>
      </c>
      <c r="O6" s="34"/>
      <c r="P6" s="7"/>
    </row>
    <row r="7" ht="15.75" customHeight="1">
      <c r="A7" s="35"/>
      <c r="B7" s="25"/>
      <c r="C7" s="22"/>
      <c r="D7" s="23">
        <f>SUM(C5:C6)</f>
        <v>0</v>
      </c>
      <c r="F7" s="36"/>
      <c r="G7" s="37"/>
      <c r="H7" s="37"/>
      <c r="I7" s="38"/>
      <c r="J7" s="39"/>
      <c r="K7" s="16"/>
      <c r="L7" s="16"/>
      <c r="M7" s="40"/>
      <c r="N7" s="41" t="s">
        <v>14</v>
      </c>
      <c r="O7" s="42"/>
      <c r="P7" s="43"/>
    </row>
    <row r="8" ht="15.75" customHeight="1">
      <c r="A8" s="44" t="s">
        <v>15</v>
      </c>
      <c r="B8" s="11"/>
      <c r="C8" s="22"/>
      <c r="D8" s="23"/>
      <c r="F8" s="45" t="s">
        <v>16</v>
      </c>
      <c r="G8" s="46"/>
      <c r="H8" s="47" t="s">
        <v>17</v>
      </c>
      <c r="I8" s="48" t="s">
        <v>18</v>
      </c>
      <c r="J8" s="49"/>
      <c r="K8" s="50"/>
      <c r="L8" s="51" t="s">
        <v>19</v>
      </c>
      <c r="M8" s="52"/>
      <c r="N8" s="53" t="s">
        <v>8</v>
      </c>
      <c r="O8" s="54">
        <v>0.0</v>
      </c>
      <c r="P8" s="43"/>
    </row>
    <row r="9" ht="15.75" customHeight="1">
      <c r="A9" s="55" t="s">
        <v>8</v>
      </c>
      <c r="B9" s="25"/>
      <c r="C9" s="56">
        <v>0.0</v>
      </c>
      <c r="D9" s="57"/>
      <c r="F9" s="58" t="s">
        <v>20</v>
      </c>
      <c r="G9" s="59" t="s">
        <v>21</v>
      </c>
      <c r="H9" s="60">
        <v>650.0</v>
      </c>
      <c r="I9" s="61" t="b">
        <v>0</v>
      </c>
      <c r="J9" s="62" t="s">
        <v>22</v>
      </c>
      <c r="K9" s="63" t="s">
        <v>23</v>
      </c>
      <c r="L9" s="64">
        <v>5.39</v>
      </c>
      <c r="M9" s="65" t="b">
        <v>0</v>
      </c>
      <c r="N9" s="53" t="s">
        <v>10</v>
      </c>
      <c r="O9" s="54">
        <v>0.0</v>
      </c>
      <c r="P9" s="66"/>
      <c r="R9" s="67" t="s">
        <v>24</v>
      </c>
      <c r="S9" s="2"/>
      <c r="T9" s="2"/>
      <c r="U9" s="3"/>
    </row>
    <row r="10" ht="16.5" customHeight="1">
      <c r="A10" s="55" t="s">
        <v>10</v>
      </c>
      <c r="B10" s="25"/>
      <c r="C10" s="56">
        <v>0.0</v>
      </c>
      <c r="D10" s="68"/>
      <c r="F10" s="69"/>
      <c r="I10" s="70"/>
      <c r="J10" s="71" t="s">
        <v>25</v>
      </c>
      <c r="K10" s="59" t="s">
        <v>26</v>
      </c>
      <c r="L10" s="72">
        <v>40.04</v>
      </c>
      <c r="M10" s="73" t="b">
        <v>0</v>
      </c>
      <c r="N10" s="74"/>
      <c r="O10" s="42"/>
      <c r="P10" s="43">
        <f>SUM(O8,O9)</f>
        <v>0</v>
      </c>
      <c r="R10" s="8"/>
      <c r="U10" s="9"/>
    </row>
    <row r="11" ht="15.75" customHeight="1">
      <c r="A11" s="75"/>
      <c r="B11" s="25"/>
      <c r="C11" s="76"/>
      <c r="D11" s="77">
        <f>SUM(C9:C10)</f>
        <v>0</v>
      </c>
      <c r="F11" s="69"/>
      <c r="I11" s="70"/>
      <c r="N11" s="41" t="s">
        <v>27</v>
      </c>
      <c r="O11" s="42"/>
      <c r="P11" s="43"/>
      <c r="R11" s="78"/>
      <c r="S11" s="79"/>
      <c r="T11" s="79"/>
      <c r="U11" s="80"/>
    </row>
    <row r="12" ht="15.75" customHeight="1">
      <c r="A12" s="81" t="s">
        <v>28</v>
      </c>
      <c r="B12" s="82"/>
      <c r="C12" s="209"/>
      <c r="D12" s="84">
        <v>0.0</v>
      </c>
      <c r="F12" s="69"/>
      <c r="I12" s="70"/>
      <c r="J12" s="71" t="s">
        <v>29</v>
      </c>
      <c r="K12" s="59" t="s">
        <v>30</v>
      </c>
      <c r="L12" s="72">
        <v>6.48</v>
      </c>
      <c r="M12" s="73" t="b">
        <v>0</v>
      </c>
      <c r="N12" s="53" t="s">
        <v>8</v>
      </c>
      <c r="O12" s="54">
        <v>0.0</v>
      </c>
      <c r="P12" s="43"/>
      <c r="R12" s="85" t="s">
        <v>31</v>
      </c>
      <c r="S12" s="11"/>
      <c r="T12" s="86"/>
      <c r="U12" s="87"/>
    </row>
    <row r="13" ht="15.75" customHeight="1">
      <c r="A13" s="88" t="s">
        <v>32</v>
      </c>
      <c r="B13" s="89"/>
      <c r="C13" s="90"/>
      <c r="D13" s="91">
        <f>SUM(D7,D11,D12,C12)</f>
        <v>0</v>
      </c>
      <c r="F13" s="92"/>
      <c r="G13" s="93"/>
      <c r="H13" s="93"/>
      <c r="I13" s="94"/>
      <c r="J13" s="93"/>
      <c r="K13" s="93"/>
      <c r="L13" s="93"/>
      <c r="M13" s="93"/>
      <c r="N13" s="53" t="s">
        <v>10</v>
      </c>
      <c r="O13" s="95"/>
      <c r="P13" s="66"/>
      <c r="R13" s="85" t="s">
        <v>33</v>
      </c>
      <c r="S13" s="11"/>
      <c r="T13" s="86"/>
      <c r="U13" s="87"/>
    </row>
    <row r="14" ht="15.75" customHeight="1">
      <c r="F14" s="96" t="s">
        <v>34</v>
      </c>
      <c r="G14" s="97"/>
      <c r="H14" s="98">
        <f>S40</f>
        <v>0</v>
      </c>
      <c r="I14" s="99"/>
      <c r="J14" s="100" t="s">
        <v>35</v>
      </c>
      <c r="K14" s="11"/>
      <c r="L14" s="101"/>
      <c r="M14" s="11"/>
      <c r="N14" s="74"/>
      <c r="O14" s="42"/>
      <c r="P14" s="43">
        <f>SUM(O12,O13)</f>
        <v>0</v>
      </c>
      <c r="R14" s="85" t="s">
        <v>36</v>
      </c>
      <c r="S14" s="11"/>
      <c r="T14" s="86" t="str">
        <f>AG26</f>
        <v/>
      </c>
      <c r="U14" s="87"/>
    </row>
    <row r="15" ht="15.75" customHeight="1">
      <c r="F15" s="102" t="s">
        <v>37</v>
      </c>
      <c r="G15" s="103"/>
      <c r="H15" s="104">
        <f>Q40</f>
        <v>0</v>
      </c>
      <c r="I15" s="11"/>
      <c r="J15" s="105" t="s">
        <v>38</v>
      </c>
      <c r="K15" s="11"/>
      <c r="L15" s="101">
        <v>0.0</v>
      </c>
      <c r="M15" s="11"/>
      <c r="N15" s="106" t="s">
        <v>39</v>
      </c>
      <c r="P15" s="107"/>
      <c r="R15" s="108" t="s">
        <v>40</v>
      </c>
      <c r="S15" s="109"/>
      <c r="T15" s="110">
        <f>SUM(T12,T13,T14)</f>
        <v>0</v>
      </c>
      <c r="U15" s="111"/>
    </row>
    <row r="16" ht="15.75" customHeight="1">
      <c r="F16" s="44" t="s">
        <v>42</v>
      </c>
      <c r="G16" s="103"/>
      <c r="H16" s="113">
        <v>200.0</v>
      </c>
      <c r="I16" s="87"/>
      <c r="J16" s="114" t="s">
        <v>43</v>
      </c>
      <c r="K16" s="11"/>
      <c r="L16" s="101">
        <f>R40</f>
        <v>0</v>
      </c>
      <c r="M16" s="11"/>
      <c r="N16" s="115" t="s">
        <v>8</v>
      </c>
      <c r="O16" s="116">
        <v>0.0</v>
      </c>
      <c r="P16" s="107"/>
    </row>
    <row r="17" ht="15.75" customHeight="1">
      <c r="F17" s="118"/>
      <c r="G17" s="119"/>
      <c r="H17" s="120"/>
      <c r="I17" s="11"/>
      <c r="J17" s="121" t="s">
        <v>45</v>
      </c>
      <c r="K17" s="11"/>
      <c r="L17" s="101">
        <f>V40</f>
        <v>0</v>
      </c>
      <c r="M17" s="11"/>
      <c r="N17" s="115" t="s">
        <v>10</v>
      </c>
      <c r="O17" s="116">
        <v>0.0</v>
      </c>
      <c r="P17" s="122"/>
    </row>
    <row r="18" ht="15.75" customHeight="1">
      <c r="A18" s="211"/>
      <c r="B18" s="212" t="s">
        <v>76</v>
      </c>
      <c r="F18" s="118"/>
      <c r="G18" s="119"/>
      <c r="H18" s="120"/>
      <c r="I18" s="11"/>
      <c r="J18" s="120"/>
      <c r="K18" s="11"/>
      <c r="L18" s="120"/>
      <c r="M18" s="11"/>
      <c r="N18" s="74"/>
      <c r="P18" s="43">
        <f>SUM(O16:O17)</f>
        <v>0</v>
      </c>
    </row>
    <row r="19" ht="15.75" customHeight="1" outlineLevel="1">
      <c r="A19" s="213" t="s">
        <v>44</v>
      </c>
      <c r="B19" s="214" t="str">
        <f>C12</f>
        <v/>
      </c>
      <c r="F19" s="118"/>
      <c r="G19" s="119"/>
      <c r="H19" s="120"/>
      <c r="I19" s="11"/>
      <c r="J19" s="120"/>
      <c r="K19" s="11"/>
      <c r="L19" s="120"/>
      <c r="M19" s="11"/>
      <c r="N19" s="74"/>
      <c r="P19" s="107"/>
    </row>
    <row r="20" ht="15.75" customHeight="1" outlineLevel="1">
      <c r="F20" s="118"/>
      <c r="G20" s="119"/>
      <c r="H20" s="120"/>
      <c r="I20" s="11"/>
      <c r="J20" s="120"/>
      <c r="K20" s="11"/>
      <c r="L20" s="120"/>
      <c r="M20" s="11"/>
      <c r="N20" s="74"/>
      <c r="P20" s="107"/>
    </row>
    <row r="21" ht="15.75" customHeight="1" outlineLevel="1">
      <c r="F21" s="118"/>
      <c r="G21" s="119"/>
      <c r="H21" s="120"/>
      <c r="I21" s="11"/>
      <c r="J21" s="120"/>
      <c r="K21" s="11"/>
      <c r="L21" s="120"/>
      <c r="M21" s="11"/>
      <c r="N21" s="74"/>
      <c r="P21" s="107"/>
    </row>
    <row r="22" ht="15.75" customHeight="1" outlineLevel="1">
      <c r="F22" s="118"/>
      <c r="G22" s="119"/>
      <c r="H22" s="120"/>
      <c r="I22" s="11"/>
      <c r="J22" s="120"/>
      <c r="K22" s="11"/>
      <c r="L22" s="120"/>
      <c r="M22" s="11"/>
      <c r="N22" s="74"/>
      <c r="P22" s="107"/>
    </row>
    <row r="23" ht="15.75" customHeight="1" outlineLevel="1">
      <c r="F23" s="118"/>
      <c r="G23" s="119"/>
      <c r="H23" s="120"/>
      <c r="I23" s="11"/>
      <c r="J23" s="120"/>
      <c r="K23" s="11"/>
      <c r="L23" s="120"/>
      <c r="M23" s="11"/>
      <c r="N23" s="74"/>
      <c r="P23" s="107"/>
    </row>
    <row r="24" ht="15.75" customHeight="1">
      <c r="F24" s="118"/>
      <c r="G24" s="119"/>
      <c r="H24" s="120"/>
      <c r="I24" s="11"/>
      <c r="J24" s="120"/>
      <c r="K24" s="11"/>
      <c r="L24" s="120"/>
      <c r="M24" s="11"/>
      <c r="N24" s="74"/>
      <c r="P24" s="107"/>
    </row>
    <row r="25" ht="15.75" customHeight="1">
      <c r="F25" s="118"/>
      <c r="G25" s="119"/>
      <c r="H25" s="120"/>
      <c r="I25" s="11"/>
      <c r="J25" s="120"/>
      <c r="K25" s="11"/>
      <c r="L25" s="120"/>
      <c r="M25" s="11"/>
      <c r="N25" s="74"/>
      <c r="P25" s="107"/>
    </row>
    <row r="26" ht="15.75" customHeight="1">
      <c r="F26" s="118"/>
      <c r="G26" s="119"/>
      <c r="H26" s="120"/>
      <c r="I26" s="11"/>
      <c r="J26" s="120"/>
      <c r="K26" s="11"/>
      <c r="L26" s="120"/>
      <c r="M26" s="11"/>
      <c r="N26" s="74"/>
      <c r="P26" s="107"/>
    </row>
    <row r="27" ht="15.75" customHeight="1">
      <c r="F27" s="118"/>
      <c r="G27" s="119"/>
      <c r="H27" s="120"/>
      <c r="I27" s="11"/>
      <c r="J27" s="120"/>
      <c r="K27" s="11"/>
      <c r="L27" s="120"/>
      <c r="M27" s="11"/>
      <c r="N27" s="74"/>
      <c r="P27" s="107"/>
    </row>
    <row r="28" ht="15.75" customHeight="1">
      <c r="F28" s="118"/>
      <c r="G28" s="119"/>
      <c r="H28" s="120"/>
      <c r="I28" s="11"/>
      <c r="J28" s="120"/>
      <c r="K28" s="11"/>
      <c r="L28" s="120"/>
      <c r="M28" s="11"/>
      <c r="N28" s="74"/>
      <c r="P28" s="107"/>
    </row>
    <row r="29" ht="15.75" customHeight="1">
      <c r="F29" s="123"/>
      <c r="G29" s="109"/>
      <c r="H29" s="124"/>
      <c r="I29" s="109"/>
      <c r="J29" s="124"/>
      <c r="K29" s="109"/>
      <c r="L29" s="124"/>
      <c r="M29" s="109"/>
      <c r="N29" s="74"/>
      <c r="P29" s="107"/>
    </row>
    <row r="30" ht="15.75" customHeight="1">
      <c r="F30" s="125" t="s">
        <v>46</v>
      </c>
      <c r="G30" s="21"/>
      <c r="H30" s="126">
        <f>K3</f>
        <v>0</v>
      </c>
      <c r="I30" s="38"/>
      <c r="J30" s="127" t="s">
        <v>46</v>
      </c>
      <c r="K30" s="97"/>
      <c r="L30" s="98">
        <f>K4</f>
        <v>0</v>
      </c>
      <c r="M30" s="99"/>
      <c r="N30" s="74"/>
      <c r="P30" s="107"/>
    </row>
    <row r="31" ht="15.75" customHeight="1">
      <c r="F31" s="128" t="s">
        <v>47</v>
      </c>
      <c r="G31" s="129"/>
      <c r="H31" s="130">
        <f>SUM(H14:I16)+(H9*I9)</f>
        <v>200</v>
      </c>
      <c r="I31" s="129"/>
      <c r="J31" s="131" t="s">
        <v>47</v>
      </c>
      <c r="K31" s="129"/>
      <c r="L31" s="132">
        <f>SUM(L14:M17)+((L9*M9)+(L10*M10)+(L11*M11)+(L12*M12))</f>
        <v>0</v>
      </c>
      <c r="M31" s="82"/>
      <c r="N31" s="133"/>
      <c r="O31" s="134"/>
      <c r="P31" s="135"/>
    </row>
    <row r="32" ht="15.75" customHeight="1">
      <c r="F32" s="136" t="s">
        <v>48</v>
      </c>
      <c r="G32" s="89"/>
      <c r="H32" s="137">
        <f>SUM(H30-H31)</f>
        <v>-200</v>
      </c>
      <c r="I32" s="17"/>
      <c r="J32" s="138" t="s">
        <v>48</v>
      </c>
      <c r="K32" s="139"/>
      <c r="L32" s="137">
        <f>L30-L31</f>
        <v>0</v>
      </c>
      <c r="M32" s="140"/>
      <c r="N32" s="141" t="s">
        <v>32</v>
      </c>
      <c r="O32" s="142"/>
      <c r="P32" s="143">
        <f>SUM(P10,P14,P18)</f>
        <v>0</v>
      </c>
    </row>
    <row r="33" ht="15.75" customHeight="1">
      <c r="A33" s="93"/>
      <c r="B33" s="93"/>
      <c r="C33" s="93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ht="15.75" customHeight="1">
      <c r="A34" s="93"/>
      <c r="B34" s="93"/>
      <c r="C34" s="93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</row>
    <row r="35" ht="36.75" customHeight="1">
      <c r="E35" s="145" t="s">
        <v>49</v>
      </c>
      <c r="F35" s="2"/>
      <c r="G35" s="2"/>
      <c r="H35" s="2"/>
      <c r="I35" s="2"/>
      <c r="J35" s="2"/>
      <c r="K35" s="2"/>
      <c r="L35" s="2"/>
      <c r="M35" s="2"/>
      <c r="N35" s="3"/>
      <c r="P35" s="146" t="s">
        <v>50</v>
      </c>
      <c r="Q35" s="2"/>
      <c r="R35" s="2"/>
      <c r="S35" s="2"/>
      <c r="T35" s="3"/>
      <c r="U35" s="147">
        <f>SUM(I41:I86)</f>
        <v>0</v>
      </c>
      <c r="V35" s="3"/>
    </row>
    <row r="36" ht="15.75" customHeight="1">
      <c r="A36" s="148" t="s">
        <v>51</v>
      </c>
      <c r="E36" s="8"/>
      <c r="N36" s="9"/>
      <c r="P36" s="8"/>
      <c r="T36" s="9"/>
      <c r="U36" s="8"/>
      <c r="V36" s="9"/>
    </row>
    <row r="37" ht="16.5" customHeight="1">
      <c r="A37" s="149" t="s">
        <v>52</v>
      </c>
      <c r="E37" s="8"/>
      <c r="N37" s="9"/>
      <c r="P37" s="15"/>
      <c r="Q37" s="16"/>
      <c r="R37" s="16"/>
      <c r="S37" s="16"/>
      <c r="T37" s="17"/>
      <c r="U37" s="15"/>
      <c r="V37" s="17"/>
    </row>
    <row r="38" ht="16.5" customHeight="1">
      <c r="A38" s="150" t="s">
        <v>37</v>
      </c>
      <c r="E38" s="15"/>
      <c r="F38" s="16"/>
      <c r="G38" s="16"/>
      <c r="H38" s="16"/>
      <c r="I38" s="16"/>
      <c r="J38" s="16"/>
      <c r="K38" s="16"/>
      <c r="L38" s="16"/>
      <c r="M38" s="16"/>
      <c r="N38" s="17"/>
      <c r="P38" s="151" t="s">
        <v>52</v>
      </c>
      <c r="Q38" s="152" t="s">
        <v>37</v>
      </c>
      <c r="R38" s="153" t="s">
        <v>43</v>
      </c>
      <c r="S38" s="154" t="s">
        <v>34</v>
      </c>
      <c r="T38" s="155" t="s">
        <v>53</v>
      </c>
      <c r="U38" s="156" t="s">
        <v>21</v>
      </c>
      <c r="V38" s="157" t="s">
        <v>45</v>
      </c>
    </row>
    <row r="39" ht="16.5" customHeight="1">
      <c r="A39" s="158" t="s">
        <v>43</v>
      </c>
      <c r="E39" s="159" t="s">
        <v>54</v>
      </c>
      <c r="F39" s="3"/>
      <c r="G39" s="160" t="s">
        <v>55</v>
      </c>
      <c r="H39" s="161"/>
      <c r="I39" s="162" t="s">
        <v>56</v>
      </c>
      <c r="J39" s="163" t="s">
        <v>57</v>
      </c>
      <c r="K39" s="2"/>
      <c r="L39" s="2"/>
      <c r="M39" s="2"/>
      <c r="N39" s="3"/>
      <c r="P39" s="164"/>
      <c r="Q39" s="164"/>
      <c r="R39" s="164"/>
      <c r="S39" s="164"/>
      <c r="T39" s="164"/>
      <c r="U39" s="164"/>
      <c r="V39" s="164"/>
    </row>
    <row r="40" ht="15.75" customHeight="1">
      <c r="A40" s="165" t="s">
        <v>34</v>
      </c>
      <c r="E40" s="36"/>
      <c r="F40" s="38"/>
      <c r="G40" s="166"/>
      <c r="H40" s="167"/>
      <c r="I40" s="168"/>
      <c r="J40" s="169"/>
      <c r="K40" s="16"/>
      <c r="L40" s="16"/>
      <c r="M40" s="16"/>
      <c r="N40" s="17"/>
      <c r="P40" s="170">
        <f>SUMIF(G41:H87,"Subscriptions",I41:I87)</f>
        <v>0</v>
      </c>
      <c r="Q40" s="171">
        <f>SUMIF(G41:H87,"Gas",I41:I87)</f>
        <v>0</v>
      </c>
      <c r="R40" s="171">
        <f>SUMIF(G41:H87,"Other",I41:I87)</f>
        <v>0</v>
      </c>
      <c r="S40" s="171">
        <f>SUMIF(G41:H87,"Groceries",I41:I87)</f>
        <v>0</v>
      </c>
      <c r="T40" s="171">
        <f>SUMIF(G41:H87,"Dining Out",I41:I87)</f>
        <v>0</v>
      </c>
      <c r="U40" s="171">
        <f>SUMIF(G41:H87,"Rent",I41:I87)</f>
        <v>0</v>
      </c>
      <c r="V40" s="172">
        <f>SUMIF(G41:H87,"Shopping",I41:I87)</f>
        <v>0</v>
      </c>
    </row>
    <row r="41" ht="15.75" customHeight="1">
      <c r="A41" s="173" t="s">
        <v>53</v>
      </c>
      <c r="E41" s="174"/>
      <c r="F41" s="175"/>
      <c r="G41" s="176"/>
      <c r="H41" s="11"/>
      <c r="I41" s="177"/>
      <c r="J41" s="178"/>
      <c r="N41" s="9"/>
      <c r="P41" s="179"/>
      <c r="Q41" s="168"/>
      <c r="R41" s="168"/>
      <c r="S41" s="168"/>
      <c r="T41" s="168"/>
      <c r="U41" s="168"/>
      <c r="V41" s="180"/>
    </row>
    <row r="42" ht="15.75" customHeight="1">
      <c r="A42" s="181" t="s">
        <v>21</v>
      </c>
      <c r="E42" s="174"/>
      <c r="F42" s="175"/>
      <c r="G42" s="176"/>
      <c r="H42" s="11"/>
      <c r="I42" s="182"/>
      <c r="J42" s="183"/>
      <c r="N42" s="9"/>
      <c r="P42" s="42">
        <f>SUM((L9*M9)+(L10*M10)+(L11*M11)+(L12*M12))</f>
        <v>0</v>
      </c>
    </row>
    <row r="43" ht="15.75" customHeight="1">
      <c r="A43" s="184" t="s">
        <v>45</v>
      </c>
      <c r="E43" s="174"/>
      <c r="F43" s="175"/>
      <c r="G43" s="176"/>
      <c r="H43" s="11"/>
      <c r="I43" s="182"/>
      <c r="J43" s="183"/>
      <c r="N43" s="9"/>
    </row>
    <row r="44" ht="15.75" customHeight="1">
      <c r="E44" s="174"/>
      <c r="F44" s="175"/>
      <c r="G44" s="176"/>
      <c r="H44" s="11"/>
      <c r="I44" s="182"/>
      <c r="J44" s="183"/>
      <c r="N44" s="9"/>
    </row>
    <row r="45" ht="15.75" customHeight="1">
      <c r="E45" s="174"/>
      <c r="F45" s="175"/>
      <c r="G45" s="176"/>
      <c r="H45" s="11"/>
      <c r="I45" s="182"/>
      <c r="J45" s="178"/>
      <c r="N45" s="9"/>
    </row>
    <row r="46" ht="15.75" customHeight="1">
      <c r="E46" s="174"/>
      <c r="F46" s="175"/>
      <c r="G46" s="176"/>
      <c r="H46" s="11"/>
      <c r="I46" s="182"/>
      <c r="J46" s="178"/>
      <c r="N46" s="9"/>
      <c r="Q46" s="185" t="s">
        <v>58</v>
      </c>
    </row>
    <row r="47" ht="15.75" customHeight="1">
      <c r="E47" s="174"/>
      <c r="F47" s="175"/>
      <c r="G47" s="176"/>
      <c r="H47" s="11"/>
      <c r="I47" s="182"/>
      <c r="J47" s="178"/>
      <c r="N47" s="9"/>
      <c r="P47" s="186" t="s">
        <v>59</v>
      </c>
      <c r="Q47" s="187"/>
    </row>
    <row r="48" ht="15.75" customHeight="1">
      <c r="E48" s="174"/>
      <c r="F48" s="175"/>
      <c r="G48" s="176"/>
      <c r="H48" s="11"/>
      <c r="I48" s="182"/>
      <c r="J48" s="183"/>
      <c r="N48" s="9"/>
      <c r="P48" s="188" t="s">
        <v>60</v>
      </c>
      <c r="Q48" s="189"/>
    </row>
    <row r="49" ht="15.75" customHeight="1">
      <c r="E49" s="174"/>
      <c r="F49" s="175"/>
      <c r="G49" s="176"/>
      <c r="H49" s="11"/>
      <c r="I49" s="182"/>
      <c r="J49" s="178"/>
      <c r="N49" s="9"/>
    </row>
    <row r="50" ht="15.75" customHeight="1">
      <c r="E50" s="174"/>
      <c r="F50" s="175"/>
      <c r="G50" s="176"/>
      <c r="H50" s="11"/>
      <c r="I50" s="182"/>
      <c r="J50" s="178"/>
      <c r="N50" s="9"/>
    </row>
    <row r="51" ht="15.75" customHeight="1">
      <c r="E51" s="174"/>
      <c r="F51" s="175"/>
      <c r="G51" s="176"/>
      <c r="H51" s="11"/>
      <c r="I51" s="182"/>
      <c r="J51" s="183"/>
      <c r="N51" s="9"/>
    </row>
    <row r="52" ht="15.75" customHeight="1">
      <c r="E52" s="174"/>
      <c r="F52" s="175"/>
      <c r="G52" s="176"/>
      <c r="H52" s="11"/>
      <c r="I52" s="182"/>
      <c r="J52" s="183"/>
      <c r="N52" s="9"/>
    </row>
    <row r="53" ht="15.75" customHeight="1">
      <c r="E53" s="174"/>
      <c r="F53" s="175"/>
      <c r="G53" s="176"/>
      <c r="H53" s="11"/>
      <c r="I53" s="182"/>
      <c r="J53" s="178"/>
      <c r="N53" s="9"/>
    </row>
    <row r="54" ht="15.75" customHeight="1">
      <c r="E54" s="174"/>
      <c r="F54" s="175"/>
      <c r="G54" s="176"/>
      <c r="H54" s="11"/>
      <c r="I54" s="182"/>
      <c r="J54" s="178"/>
      <c r="N54" s="9"/>
    </row>
    <row r="55" ht="15.75" customHeight="1">
      <c r="E55" s="174"/>
      <c r="F55" s="175"/>
      <c r="G55" s="176"/>
      <c r="H55" s="11"/>
      <c r="I55" s="182"/>
      <c r="J55" s="178"/>
      <c r="N55" s="9"/>
    </row>
    <row r="56" ht="15.75" customHeight="1">
      <c r="E56" s="174"/>
      <c r="F56" s="175"/>
      <c r="G56" s="176"/>
      <c r="H56" s="11"/>
      <c r="I56" s="182"/>
      <c r="J56" s="178"/>
      <c r="N56" s="9"/>
    </row>
    <row r="57" ht="15.75" customHeight="1">
      <c r="E57" s="174"/>
      <c r="F57" s="175"/>
      <c r="G57" s="176"/>
      <c r="H57" s="11"/>
      <c r="I57" s="182"/>
      <c r="J57" s="178"/>
      <c r="N57" s="9"/>
    </row>
    <row r="58" ht="15.75" customHeight="1">
      <c r="E58" s="174"/>
      <c r="F58" s="175"/>
      <c r="G58" s="176"/>
      <c r="H58" s="11"/>
      <c r="I58" s="182"/>
      <c r="J58" s="178"/>
      <c r="N58" s="9"/>
    </row>
    <row r="59" ht="15.75" customHeight="1">
      <c r="E59" s="174"/>
      <c r="F59" s="175"/>
      <c r="G59" s="176"/>
      <c r="H59" s="11"/>
      <c r="I59" s="182"/>
      <c r="J59" s="183"/>
      <c r="N59" s="9"/>
    </row>
    <row r="60" ht="15.75" customHeight="1">
      <c r="E60" s="174"/>
      <c r="F60" s="175"/>
      <c r="G60" s="176"/>
      <c r="H60" s="11"/>
      <c r="I60" s="182"/>
      <c r="J60" s="183"/>
      <c r="N60" s="9"/>
    </row>
    <row r="61" ht="15.75" customHeight="1">
      <c r="E61" s="174"/>
      <c r="F61" s="175"/>
      <c r="G61" s="190"/>
      <c r="H61" s="11"/>
      <c r="I61" s="191"/>
      <c r="J61" s="183"/>
      <c r="N61" s="9"/>
    </row>
    <row r="62" ht="15.75" customHeight="1">
      <c r="E62" s="174"/>
      <c r="F62" s="175"/>
      <c r="G62" s="190"/>
      <c r="H62" s="11"/>
      <c r="I62" s="182"/>
      <c r="J62" s="183"/>
      <c r="N62" s="9"/>
    </row>
    <row r="63" ht="15.75" customHeight="1">
      <c r="E63" s="174"/>
      <c r="F63" s="175"/>
      <c r="G63" s="190"/>
      <c r="H63" s="11"/>
      <c r="I63" s="182"/>
      <c r="J63" s="183"/>
      <c r="N63" s="9"/>
    </row>
    <row r="64" ht="15.75" customHeight="1">
      <c r="E64" s="174"/>
      <c r="F64" s="175"/>
      <c r="G64" s="190"/>
      <c r="H64" s="11"/>
      <c r="I64" s="182"/>
      <c r="J64" s="183"/>
      <c r="N64" s="9"/>
    </row>
    <row r="65" ht="15.75" customHeight="1">
      <c r="E65" s="174"/>
      <c r="F65" s="175"/>
      <c r="G65" s="190"/>
      <c r="H65" s="11"/>
      <c r="I65" s="182"/>
      <c r="J65" s="183"/>
      <c r="N65" s="9"/>
    </row>
    <row r="66" ht="15.75" customHeight="1">
      <c r="E66" s="174"/>
      <c r="F66" s="175"/>
      <c r="G66" s="190"/>
      <c r="H66" s="11"/>
      <c r="I66" s="182"/>
      <c r="J66" s="183"/>
      <c r="N66" s="9"/>
    </row>
    <row r="67" ht="15.75" customHeight="1">
      <c r="E67" s="174"/>
      <c r="F67" s="175"/>
      <c r="G67" s="190"/>
      <c r="H67" s="11"/>
      <c r="I67" s="182"/>
      <c r="J67" s="183"/>
      <c r="N67" s="9"/>
    </row>
    <row r="68" ht="15.75" customHeight="1">
      <c r="E68" s="174"/>
      <c r="F68" s="175"/>
      <c r="G68" s="190"/>
      <c r="H68" s="11"/>
      <c r="I68" s="182"/>
      <c r="J68" s="183"/>
      <c r="N68" s="9"/>
    </row>
    <row r="69" ht="15.75" customHeight="1">
      <c r="E69" s="174"/>
      <c r="F69" s="175"/>
      <c r="G69" s="190"/>
      <c r="H69" s="11"/>
      <c r="I69" s="182"/>
      <c r="J69" s="183"/>
      <c r="N69" s="9"/>
    </row>
    <row r="70" ht="15.75" customHeight="1">
      <c r="E70" s="174"/>
      <c r="F70" s="175"/>
      <c r="G70" s="190"/>
      <c r="H70" s="11"/>
      <c r="I70" s="182"/>
      <c r="J70" s="183"/>
      <c r="N70" s="9"/>
    </row>
    <row r="71" ht="15.75" customHeight="1">
      <c r="E71" s="174"/>
      <c r="F71" s="175"/>
      <c r="G71" s="190"/>
      <c r="H71" s="11"/>
      <c r="I71" s="182"/>
      <c r="J71" s="183"/>
      <c r="N71" s="9"/>
    </row>
    <row r="72" ht="15.75" customHeight="1">
      <c r="E72" s="174"/>
      <c r="F72" s="175"/>
      <c r="G72" s="190"/>
      <c r="H72" s="11"/>
      <c r="I72" s="182"/>
      <c r="J72" s="183"/>
      <c r="N72" s="9"/>
    </row>
    <row r="73" ht="15.75" customHeight="1">
      <c r="E73" s="174"/>
      <c r="F73" s="175"/>
      <c r="G73" s="190"/>
      <c r="H73" s="11"/>
      <c r="I73" s="182"/>
      <c r="J73" s="183"/>
      <c r="N73" s="9"/>
    </row>
    <row r="74" ht="15.75" customHeight="1">
      <c r="E74" s="174"/>
      <c r="F74" s="175"/>
      <c r="G74" s="190"/>
      <c r="H74" s="11"/>
      <c r="I74" s="182"/>
      <c r="J74" s="183"/>
      <c r="N74" s="9"/>
    </row>
    <row r="75" ht="15.75" customHeight="1">
      <c r="E75" s="174"/>
      <c r="F75" s="175"/>
      <c r="G75" s="190"/>
      <c r="H75" s="11"/>
      <c r="I75" s="182"/>
      <c r="J75" s="183"/>
      <c r="N75" s="9"/>
    </row>
    <row r="76" ht="15.75" customHeight="1">
      <c r="E76" s="174"/>
      <c r="F76" s="175"/>
      <c r="G76" s="190"/>
      <c r="H76" s="11"/>
      <c r="I76" s="182"/>
      <c r="J76" s="183"/>
      <c r="N76" s="9"/>
    </row>
    <row r="77" ht="15.75" customHeight="1">
      <c r="E77" s="174"/>
      <c r="F77" s="175"/>
      <c r="G77" s="190"/>
      <c r="H77" s="11"/>
      <c r="I77" s="182"/>
      <c r="J77" s="183"/>
      <c r="N77" s="9"/>
    </row>
    <row r="78" ht="15.75" customHeight="1">
      <c r="E78" s="174"/>
      <c r="F78" s="175"/>
      <c r="G78" s="190"/>
      <c r="H78" s="11"/>
      <c r="I78" s="182"/>
      <c r="J78" s="183"/>
      <c r="N78" s="9"/>
    </row>
    <row r="79" ht="15.75" customHeight="1">
      <c r="E79" s="174"/>
      <c r="F79" s="175"/>
      <c r="G79" s="190"/>
      <c r="H79" s="11"/>
      <c r="I79" s="182"/>
      <c r="J79" s="183"/>
      <c r="N79" s="9"/>
    </row>
    <row r="80" ht="15.75" customHeight="1">
      <c r="E80" s="174"/>
      <c r="F80" s="175"/>
      <c r="G80" s="190"/>
      <c r="H80" s="11"/>
      <c r="I80" s="182"/>
      <c r="J80" s="183"/>
      <c r="N80" s="9"/>
    </row>
    <row r="81" ht="15.75" customHeight="1">
      <c r="E81" s="174"/>
      <c r="F81" s="175"/>
      <c r="G81" s="190"/>
      <c r="H81" s="11"/>
      <c r="I81" s="182"/>
      <c r="J81" s="183"/>
      <c r="N81" s="9"/>
    </row>
    <row r="82" ht="15.75" customHeight="1">
      <c r="E82" s="174"/>
      <c r="F82" s="175"/>
      <c r="G82" s="190"/>
      <c r="H82" s="11"/>
      <c r="I82" s="182"/>
      <c r="J82" s="183"/>
      <c r="N82" s="9"/>
    </row>
    <row r="83" ht="15.75" customHeight="1">
      <c r="E83" s="174"/>
      <c r="F83" s="175"/>
      <c r="G83" s="190"/>
      <c r="H83" s="11"/>
      <c r="I83" s="182"/>
      <c r="J83" s="183"/>
      <c r="N83" s="9"/>
    </row>
    <row r="84" ht="15.75" customHeight="1">
      <c r="E84" s="174"/>
      <c r="F84" s="175"/>
      <c r="G84" s="190"/>
      <c r="H84" s="11"/>
      <c r="I84" s="182"/>
      <c r="J84" s="183"/>
      <c r="N84" s="9"/>
    </row>
    <row r="85" ht="15.75" customHeight="1">
      <c r="E85" s="174"/>
      <c r="F85" s="175"/>
      <c r="G85" s="190"/>
      <c r="H85" s="11"/>
      <c r="I85" s="182"/>
      <c r="J85" s="183"/>
      <c r="N85" s="9"/>
    </row>
    <row r="86" ht="15.75" customHeight="1">
      <c r="E86" s="192"/>
      <c r="F86" s="193"/>
      <c r="G86" s="190"/>
      <c r="H86" s="11"/>
      <c r="I86" s="194"/>
      <c r="J86" s="195"/>
      <c r="K86" s="16"/>
      <c r="L86" s="16"/>
      <c r="M86" s="16"/>
      <c r="N86" s="1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0">
    <mergeCell ref="A1:D3"/>
    <mergeCell ref="I1:J1"/>
    <mergeCell ref="K1:L1"/>
    <mergeCell ref="I2:J2"/>
    <mergeCell ref="K2:L2"/>
    <mergeCell ref="K3:L3"/>
    <mergeCell ref="K4:L4"/>
    <mergeCell ref="I3:J3"/>
    <mergeCell ref="I4:J4"/>
    <mergeCell ref="I5:J5"/>
    <mergeCell ref="K5:L5"/>
    <mergeCell ref="F6:I7"/>
    <mergeCell ref="J6:M7"/>
    <mergeCell ref="N6:P6"/>
    <mergeCell ref="A4:B4"/>
    <mergeCell ref="A5:B5"/>
    <mergeCell ref="A6:B6"/>
    <mergeCell ref="A7:B7"/>
    <mergeCell ref="A8:B8"/>
    <mergeCell ref="A9:B9"/>
    <mergeCell ref="A10:B10"/>
    <mergeCell ref="R14:S14"/>
    <mergeCell ref="T14:U14"/>
    <mergeCell ref="R15:S15"/>
    <mergeCell ref="T15:U15"/>
    <mergeCell ref="J8:K8"/>
    <mergeCell ref="L8:M8"/>
    <mergeCell ref="R9:U11"/>
    <mergeCell ref="R12:S12"/>
    <mergeCell ref="T12:U12"/>
    <mergeCell ref="R13:S13"/>
    <mergeCell ref="T13:U13"/>
    <mergeCell ref="A11:B11"/>
    <mergeCell ref="A12:B12"/>
    <mergeCell ref="A13:B13"/>
    <mergeCell ref="F14:G14"/>
    <mergeCell ref="H14:I14"/>
    <mergeCell ref="J14:K14"/>
    <mergeCell ref="L14:M14"/>
    <mergeCell ref="J18:K18"/>
    <mergeCell ref="L18:M18"/>
    <mergeCell ref="F23:G23"/>
    <mergeCell ref="H23:I23"/>
    <mergeCell ref="J23:K23"/>
    <mergeCell ref="L23:M23"/>
    <mergeCell ref="H24:I24"/>
    <mergeCell ref="J24:K24"/>
    <mergeCell ref="L24:M24"/>
    <mergeCell ref="F24:G24"/>
    <mergeCell ref="F25:G25"/>
    <mergeCell ref="H25:I25"/>
    <mergeCell ref="J25:K25"/>
    <mergeCell ref="L25:M25"/>
    <mergeCell ref="F26:G26"/>
    <mergeCell ref="H26:I26"/>
    <mergeCell ref="F15:G15"/>
    <mergeCell ref="H15:I15"/>
    <mergeCell ref="J15:K15"/>
    <mergeCell ref="L15:M15"/>
    <mergeCell ref="H16:I16"/>
    <mergeCell ref="J16:K16"/>
    <mergeCell ref="L16:M16"/>
    <mergeCell ref="F16:G16"/>
    <mergeCell ref="F17:G17"/>
    <mergeCell ref="H17:I17"/>
    <mergeCell ref="J17:K17"/>
    <mergeCell ref="L17:M17"/>
    <mergeCell ref="F18:G18"/>
    <mergeCell ref="H18:I18"/>
    <mergeCell ref="F19:G19"/>
    <mergeCell ref="H19:I19"/>
    <mergeCell ref="J19:K19"/>
    <mergeCell ref="L19:M19"/>
    <mergeCell ref="H20:I20"/>
    <mergeCell ref="J20:K20"/>
    <mergeCell ref="L20:M20"/>
    <mergeCell ref="J22:K22"/>
    <mergeCell ref="L22:M22"/>
    <mergeCell ref="F20:G20"/>
    <mergeCell ref="F21:G21"/>
    <mergeCell ref="H21:I21"/>
    <mergeCell ref="J21:K21"/>
    <mergeCell ref="L21:M21"/>
    <mergeCell ref="F22:G22"/>
    <mergeCell ref="H22:I22"/>
    <mergeCell ref="J26:K26"/>
    <mergeCell ref="L26:M26"/>
    <mergeCell ref="H32:I32"/>
    <mergeCell ref="J32:K32"/>
    <mergeCell ref="J30:K30"/>
    <mergeCell ref="L30:M30"/>
    <mergeCell ref="F31:G31"/>
    <mergeCell ref="H31:I31"/>
    <mergeCell ref="J31:K31"/>
    <mergeCell ref="L31:M31"/>
    <mergeCell ref="F32:G32"/>
    <mergeCell ref="L32:M32"/>
    <mergeCell ref="J49:N49"/>
    <mergeCell ref="J50:N50"/>
    <mergeCell ref="J51:N51"/>
    <mergeCell ref="J52:N52"/>
    <mergeCell ref="J53:N53"/>
    <mergeCell ref="J54:N54"/>
    <mergeCell ref="J55:N55"/>
    <mergeCell ref="J56:N56"/>
    <mergeCell ref="J57:N57"/>
    <mergeCell ref="J58:N58"/>
    <mergeCell ref="J59:N59"/>
    <mergeCell ref="J60:N60"/>
    <mergeCell ref="J61:N61"/>
    <mergeCell ref="J62:N62"/>
    <mergeCell ref="J63:N63"/>
    <mergeCell ref="J64:N64"/>
    <mergeCell ref="J65:N65"/>
    <mergeCell ref="J66:N66"/>
    <mergeCell ref="J67:N67"/>
    <mergeCell ref="J68:N68"/>
    <mergeCell ref="J69:N69"/>
    <mergeCell ref="J70:N70"/>
    <mergeCell ref="J71:N71"/>
    <mergeCell ref="J72:N72"/>
    <mergeCell ref="J73:N73"/>
    <mergeCell ref="J74:N74"/>
    <mergeCell ref="J75:N75"/>
    <mergeCell ref="J76:N76"/>
    <mergeCell ref="J84:N84"/>
    <mergeCell ref="J85:N85"/>
    <mergeCell ref="J86:N86"/>
    <mergeCell ref="J77:N77"/>
    <mergeCell ref="J78:N78"/>
    <mergeCell ref="J79:N79"/>
    <mergeCell ref="J80:N80"/>
    <mergeCell ref="J81:N81"/>
    <mergeCell ref="J82:N82"/>
    <mergeCell ref="J83:N83"/>
    <mergeCell ref="F27:G27"/>
    <mergeCell ref="H27:I27"/>
    <mergeCell ref="J27:K27"/>
    <mergeCell ref="L27:M27"/>
    <mergeCell ref="H28:I28"/>
    <mergeCell ref="J28:K28"/>
    <mergeCell ref="L28:M28"/>
    <mergeCell ref="F28:G28"/>
    <mergeCell ref="F29:G29"/>
    <mergeCell ref="H29:I29"/>
    <mergeCell ref="J29:K29"/>
    <mergeCell ref="L29:M29"/>
    <mergeCell ref="F30:G30"/>
    <mergeCell ref="H30:I30"/>
    <mergeCell ref="T38:T39"/>
    <mergeCell ref="U38:U39"/>
    <mergeCell ref="P40:P41"/>
    <mergeCell ref="Q40:Q41"/>
    <mergeCell ref="R40:R41"/>
    <mergeCell ref="S40:S41"/>
    <mergeCell ref="T40:T41"/>
    <mergeCell ref="U40:U41"/>
    <mergeCell ref="V40:V41"/>
    <mergeCell ref="P35:T37"/>
    <mergeCell ref="U35:V37"/>
    <mergeCell ref="P38:P39"/>
    <mergeCell ref="Q38:Q39"/>
    <mergeCell ref="R38:R39"/>
    <mergeCell ref="S38:S39"/>
    <mergeCell ref="V38:V39"/>
    <mergeCell ref="E35:N38"/>
    <mergeCell ref="E39:F40"/>
    <mergeCell ref="G39:H40"/>
    <mergeCell ref="I39:I40"/>
    <mergeCell ref="J39:N40"/>
    <mergeCell ref="G41:H41"/>
    <mergeCell ref="J41:N41"/>
    <mergeCell ref="J42:N42"/>
    <mergeCell ref="J43:N43"/>
    <mergeCell ref="J44:N44"/>
    <mergeCell ref="J45:N45"/>
    <mergeCell ref="J46:N46"/>
    <mergeCell ref="J47:N47"/>
    <mergeCell ref="J48:N48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G70:H70"/>
    <mergeCell ref="G71:H71"/>
    <mergeCell ref="G72:H72"/>
    <mergeCell ref="G73:H73"/>
    <mergeCell ref="G74:H74"/>
    <mergeCell ref="G75:H75"/>
    <mergeCell ref="G76:H76"/>
    <mergeCell ref="G84:H84"/>
    <mergeCell ref="G85:H85"/>
    <mergeCell ref="G86:H86"/>
    <mergeCell ref="G77:H77"/>
    <mergeCell ref="G78:H78"/>
    <mergeCell ref="G79:H79"/>
    <mergeCell ref="G80:H80"/>
    <mergeCell ref="G81:H81"/>
    <mergeCell ref="G82:H82"/>
    <mergeCell ref="G83:H83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G48:H48"/>
    <mergeCell ref="E48:F48"/>
    <mergeCell ref="E49:F49"/>
    <mergeCell ref="E50:F50"/>
    <mergeCell ref="E51:F51"/>
    <mergeCell ref="E52:F52"/>
    <mergeCell ref="E53:F53"/>
    <mergeCell ref="E54:F54"/>
    <mergeCell ref="G49:H49"/>
    <mergeCell ref="G50:H50"/>
    <mergeCell ref="G51:H51"/>
    <mergeCell ref="G52:H52"/>
    <mergeCell ref="G53:H53"/>
    <mergeCell ref="G54:H54"/>
    <mergeCell ref="G55:H55"/>
    <mergeCell ref="E55:F55"/>
    <mergeCell ref="E56:F56"/>
    <mergeCell ref="E57:F57"/>
    <mergeCell ref="E58:F58"/>
    <mergeCell ref="E59:F59"/>
    <mergeCell ref="E60:F60"/>
    <mergeCell ref="E61:F61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</mergeCells>
  <conditionalFormatting sqref="G41:H86">
    <cfRule type="cellIs" dxfId="0" priority="1" operator="equal">
      <formula>"Groceries"</formula>
    </cfRule>
  </conditionalFormatting>
  <conditionalFormatting sqref="G41:H86">
    <cfRule type="containsText" dxfId="1" priority="2" operator="containsText" text="Shopping">
      <formula>NOT(ISERROR(SEARCH(("Shopping"),(G41))))</formula>
    </cfRule>
  </conditionalFormatting>
  <conditionalFormatting sqref="G41:H86">
    <cfRule type="containsText" dxfId="2" priority="3" operator="containsText" text="Rent">
      <formula>NOT(ISERROR(SEARCH(("Rent"),(G41))))</formula>
    </cfRule>
  </conditionalFormatting>
  <conditionalFormatting sqref="G41:H86">
    <cfRule type="containsText" dxfId="3" priority="4" operator="containsText" text="Dining Out">
      <formula>NOT(ISERROR(SEARCH(("Dining Out"),(G41))))</formula>
    </cfRule>
  </conditionalFormatting>
  <conditionalFormatting sqref="G41:H86">
    <cfRule type="containsText" dxfId="4" priority="5" operator="containsText" text="Other">
      <formula>NOT(ISERROR(SEARCH(("Other"),(G41))))</formula>
    </cfRule>
  </conditionalFormatting>
  <conditionalFormatting sqref="G41:H86">
    <cfRule type="containsText" dxfId="5" priority="6" operator="containsText" text="Gas">
      <formula>NOT(ISERROR(SEARCH(("Gas"),(G41))))</formula>
    </cfRule>
  </conditionalFormatting>
  <conditionalFormatting sqref="G41:H86">
    <cfRule type="containsText" dxfId="6" priority="7" operator="containsText" text="Subscriptions">
      <formula>NOT(ISERROR(SEARCH(("Subscriptions"),(G41))))</formula>
    </cfRule>
  </conditionalFormatting>
  <conditionalFormatting sqref="H32:I32">
    <cfRule type="cellIs" dxfId="7" priority="8" operator="lessThan">
      <formula>0</formula>
    </cfRule>
  </conditionalFormatting>
  <conditionalFormatting sqref="H32:I32">
    <cfRule type="cellIs" dxfId="8" priority="9" operator="greaterThan">
      <formula>0</formula>
    </cfRule>
  </conditionalFormatting>
  <conditionalFormatting sqref="L32:M32">
    <cfRule type="cellIs" dxfId="7" priority="10" operator="lessThan">
      <formula>0</formula>
    </cfRule>
  </conditionalFormatting>
  <conditionalFormatting sqref="L32:M32">
    <cfRule type="cellIs" dxfId="8" priority="11" operator="greaterThan">
      <formula>0</formula>
    </cfRule>
  </conditionalFormatting>
  <conditionalFormatting sqref="P32">
    <cfRule type="cellIs" dxfId="8" priority="12" operator="greaterThan">
      <formula>0</formula>
    </cfRule>
  </conditionalFormatting>
  <conditionalFormatting sqref="T15">
    <cfRule type="cellIs" dxfId="7" priority="13" operator="lessThan">
      <formula>0</formula>
    </cfRule>
  </conditionalFormatting>
  <conditionalFormatting sqref="T15">
    <cfRule type="cellIs" dxfId="8" priority="14" operator="greaterThan">
      <formula>0</formula>
    </cfRule>
  </conditionalFormatting>
  <dataValidations>
    <dataValidation type="list" allowBlank="1" showErrorMessage="1" sqref="G60:G86">
      <formula1>$A$37:$A$44</formula1>
    </dataValidation>
    <dataValidation type="list" allowBlank="1" showErrorMessage="1" sqref="K2">
      <formula1>"50/30/20,70/20/10"</formula1>
    </dataValidation>
    <dataValidation type="list" allowBlank="1" showErrorMessage="1" sqref="G41:G59">
      <formula1>$A$37:$A$43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2025-08-07T19:27:52Z</dcterms:created>
  <dc:creator>Sanchez, Cesar</dc:creator>
</cp:coreProperties>
</file>