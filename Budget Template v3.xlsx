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4.xml.rels" ContentType="application/vnd.openxmlformats-package.relationships+xml"/>
  <Override PartName="/xl/drawings/_rels/drawing13.xml.rels" ContentType="application/vnd.openxmlformats-package.relationships+xml"/>
  <Override PartName="/xl/drawings/_rels/drawing8.xml.rels" ContentType="application/vnd.openxmlformats-package.relationships+xml"/>
  <Override PartName="/xl/drawings/_rels/drawing14.xml.rels" ContentType="application/vnd.openxmlformats-package.relationships+xml"/>
  <Override PartName="/xl/drawings/_rels/drawing9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tables/table33.xml" ContentType="application/vnd.openxmlformats-officedocument.spreadsheetml.table+xml"/>
  <Override PartName="/xl/tables/table48.xml" ContentType="application/vnd.openxmlformats-officedocument.spreadsheetml.table+xml"/>
  <Override PartName="/xl/tables/table11.xml" ContentType="application/vnd.openxmlformats-officedocument.spreadsheetml.table+xml"/>
  <Override PartName="/xl/tables/table35.xml" ContentType="application/vnd.openxmlformats-officedocument.spreadsheetml.table+xml"/>
  <Override PartName="/xl/tables/table1.xml" ContentType="application/vnd.openxmlformats-officedocument.spreadsheetml.table+xml"/>
  <Override PartName="/xl/tables/table22.xml" ContentType="application/vnd.openxmlformats-officedocument.spreadsheetml.table+xml"/>
  <Override PartName="/xl/tables/table46.xml" ContentType="application/vnd.openxmlformats-officedocument.spreadsheetml.table+xml"/>
  <Override PartName="/xl/tables/table9.xml" ContentType="application/vnd.openxmlformats-officedocument.spreadsheetml.table+xml"/>
  <Override PartName="/xl/tables/table40.xml" ContentType="application/vnd.openxmlformats-officedocument.spreadsheetml.table+xml"/>
  <Override PartName="/xl/tables/table27.xml" ContentType="application/vnd.openxmlformats-officedocument.spreadsheetml.table+xml"/>
  <Override PartName="/xl/tables/table47.xml" ContentType="application/vnd.openxmlformats-officedocument.spreadsheetml.table+xml"/>
  <Override PartName="/xl/tables/table10.xml" ContentType="application/vnd.openxmlformats-officedocument.spreadsheetml.table+xml"/>
  <Override PartName="/xl/tables/table34.xml" ContentType="application/vnd.openxmlformats-officedocument.spreadsheetml.table+xml"/>
  <Override PartName="/xl/tables/table21.xml" ContentType="application/vnd.openxmlformats-officedocument.spreadsheetml.table+xml"/>
  <Override PartName="/xl/tables/table23.xml" ContentType="application/vnd.openxmlformats-officedocument.spreadsheetml.table+xml"/>
  <Override PartName="/xl/tables/table4.xml" ContentType="application/vnd.openxmlformats-officedocument.spreadsheetml.table+xml"/>
  <Override PartName="/xl/tables/table38.xml" ContentType="application/vnd.openxmlformats-officedocument.spreadsheetml.table+xml"/>
  <Override PartName="/xl/tables/table36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39.xml" ContentType="application/vnd.openxmlformats-officedocument.spreadsheetml.table+xml"/>
  <Override PartName="/xl/tables/table14.xml" ContentType="application/vnd.openxmlformats-officedocument.spreadsheetml.table+xml"/>
  <Override PartName="/xl/tables/table41.xml" ContentType="application/vnd.openxmlformats-officedocument.spreadsheetml.table+xml"/>
  <Override PartName="/xl/tables/table26.xml" ContentType="application/vnd.openxmlformats-officedocument.spreadsheetml.table+xml"/>
  <Override PartName="/xl/tables/table24.xml" ContentType="application/vnd.openxmlformats-officedocument.spreadsheetml.table+xml"/>
  <Override PartName="/xl/tables/table13.xml" ContentType="application/vnd.openxmlformats-officedocument.spreadsheetml.table+xml"/>
  <Override PartName="/xl/tables/table50.xml" ContentType="application/vnd.openxmlformats-officedocument.spreadsheetml.table+xml"/>
  <Override PartName="/xl/tables/table25.xml" ContentType="application/vnd.openxmlformats-officedocument.spreadsheetml.table+xml"/>
  <Override PartName="/xl/tables/table37.xml" ContentType="application/vnd.openxmlformats-officedocument.spreadsheetml.table+xml"/>
  <Override PartName="/xl/tables/table3.xml" ContentType="application/vnd.openxmlformats-officedocument.spreadsheetml.table+xml"/>
  <Override PartName="/xl/tables/table51.xml" ContentType="application/vnd.openxmlformats-officedocument.spreadsheetml.table+xml"/>
  <Override PartName="/xl/tables/table16.xml" ContentType="application/vnd.openxmlformats-officedocument.spreadsheetml.table+xml"/>
  <Override PartName="/xl/tables/table52.xml" ContentType="application/vnd.openxmlformats-officedocument.spreadsheetml.table+xml"/>
  <Override PartName="/xl/tables/table15.xml" ContentType="application/vnd.openxmlformats-officedocument.spreadsheetml.table+xml"/>
  <Override PartName="/xl/tables/table29.xml" ContentType="application/vnd.openxmlformats-officedocument.spreadsheetml.table+xml"/>
  <Override PartName="/xl/tables/table31.xml" ContentType="application/vnd.openxmlformats-officedocument.spreadsheetml.table+xml"/>
  <Override PartName="/xl/tables/table42.xml" ContentType="application/vnd.openxmlformats-officedocument.spreadsheetml.table+xml"/>
  <Override PartName="/xl/tables/table28.xml" ContentType="application/vnd.openxmlformats-officedocument.spreadsheetml.table+xml"/>
  <Override PartName="/xl/tables/table30.xml" ContentType="application/vnd.openxmlformats-officedocument.spreadsheetml.table+xml"/>
  <Override PartName="/xl/tables/table45.xml" ContentType="application/vnd.openxmlformats-officedocument.spreadsheetml.table+xml"/>
  <Override PartName="/xl/tables/table8.xml" ContentType="application/vnd.openxmlformats-officedocument.spreadsheetml.table+xml"/>
  <Override PartName="/xl/tables/table32.xml" ContentType="application/vnd.openxmlformats-officedocument.spreadsheetml.table+xml"/>
  <Override PartName="/xl/tables/table19.xml" ContentType="application/vnd.openxmlformats-officedocument.spreadsheetml.table+xml"/>
  <Override PartName="/xl/tables/table17.xml" ContentType="application/vnd.openxmlformats-officedocument.spreadsheetml.table+xml"/>
  <Override PartName="/xl/tables/table44.xml" ContentType="application/vnd.openxmlformats-officedocument.spreadsheetml.table+xml"/>
  <Override PartName="/xl/tables/table7.xml" ContentType="application/vnd.openxmlformats-officedocument.spreadsheetml.table+xml"/>
  <Override PartName="/xl/tables/table43.xml" ContentType="application/vnd.openxmlformats-officedocument.spreadsheetml.table+xml"/>
  <Override PartName="/xl/tables/table6.xml" ContentType="application/vnd.openxmlformats-officedocument.spreadsheetml.table+xml"/>
  <Override PartName="/xl/tables/table18.xml" ContentType="application/vnd.openxmlformats-officedocument.spreadsheetml.table+xml"/>
  <Override PartName="/xl/tables/table20.xml" ContentType="application/vnd.openxmlformats-officedocument.spreadsheetml.table+xml"/>
  <Override PartName="/xl/tables/table49.xml" ContentType="application/vnd.openxmlformats-officedocument.spreadsheetml.table+xml"/>
  <Override PartName="/xl/tables/table1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Spending Template" sheetId="1" state="visible" r:id="rId3"/>
    <sheet name="Yearly Overview" sheetId="2" state="visible" r:id="rId4"/>
    <sheet name="Jan" sheetId="3" state="visible" r:id="rId5"/>
    <sheet name="Feb" sheetId="4" state="visible" r:id="rId6"/>
    <sheet name="Mar" sheetId="5" state="visible" r:id="rId7"/>
    <sheet name="Apr" sheetId="6" state="visible" r:id="rId8"/>
    <sheet name="May" sheetId="7" state="visible" r:id="rId9"/>
    <sheet name="Jun" sheetId="8" state="visible" r:id="rId10"/>
    <sheet name="Jul" sheetId="9" state="visible" r:id="rId11"/>
    <sheet name="Aug" sheetId="10" state="visible" r:id="rId12"/>
    <sheet name="Sep" sheetId="11" state="visible" r:id="rId13"/>
    <sheet name="Oct" sheetId="12" state="visible" r:id="rId14"/>
    <sheet name="Nov" sheetId="13" state="visible" r:id="rId15"/>
    <sheet name="Dec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<sst xmlns="http://schemas.openxmlformats.org/spreadsheetml/2006/main" count="804" uniqueCount="117">
  <si>
    <t xml:space="preserve">MONTHLY BUDGET TEMPLATE</t>
  </si>
  <si>
    <t xml:space="preserve">Total Income</t>
  </si>
  <si>
    <t xml:space="preserve">Total Spent</t>
  </si>
  <si>
    <t xml:space="preserve">Leftover</t>
  </si>
  <si>
    <t xml:space="preserve">Savings Rate</t>
  </si>
  <si>
    <t xml:space="preserve">Bills Paid</t>
  </si>
  <si>
    <t xml:space="preserve">Spending Breakdown</t>
  </si>
  <si>
    <t xml:space="preserve">Budgeted</t>
  </si>
  <si>
    <t xml:space="preserve">Actual</t>
  </si>
  <si>
    <t xml:space="preserve">Needs Actual</t>
  </si>
  <si>
    <t xml:space="preserve">Needs</t>
  </si>
  <si>
    <t xml:space="preserve">Wants Actual</t>
  </si>
  <si>
    <t xml:space="preserve">Wants</t>
  </si>
  <si>
    <t xml:space="preserve">Savings Actual</t>
  </si>
  <si>
    <t xml:space="preserve">Savings</t>
  </si>
  <si>
    <t xml:space="preserve">Income</t>
  </si>
  <si>
    <t xml:space="preserve">Transactions Log</t>
  </si>
  <si>
    <t xml:space="preserve">Category Totals</t>
  </si>
  <si>
    <t xml:space="preserve">Source</t>
  </si>
  <si>
    <t xml:space="preserve">Amount</t>
  </si>
  <si>
    <t xml:space="preserve">Date</t>
  </si>
  <si>
    <t xml:space="preserve">Category</t>
  </si>
  <si>
    <t xml:space="preserve">Notes</t>
  </si>
  <si>
    <t xml:space="preserve">Total</t>
  </si>
  <si>
    <t xml:space="preserve">Subscriptions</t>
  </si>
  <si>
    <t xml:space="preserve">Gas</t>
  </si>
  <si>
    <t xml:space="preserve">Other</t>
  </si>
  <si>
    <t xml:space="preserve">Groceries</t>
  </si>
  <si>
    <t xml:space="preserve">Dining out</t>
  </si>
  <si>
    <t xml:space="preserve">Rent</t>
  </si>
  <si>
    <t xml:space="preserve">Shopping</t>
  </si>
  <si>
    <t xml:space="preserve">Credit Card</t>
  </si>
  <si>
    <t xml:space="preserve">Budget Split</t>
  </si>
  <si>
    <t xml:space="preserve">50/30/20</t>
  </si>
  <si>
    <t xml:space="preserve">Needs Target</t>
  </si>
  <si>
    <t xml:space="preserve">Wants Target</t>
  </si>
  <si>
    <t xml:space="preserve">Savings Target</t>
  </si>
  <si>
    <t xml:space="preserve">Recurring Bills</t>
  </si>
  <si>
    <t xml:space="preserve">Bill Name</t>
  </si>
  <si>
    <t xml:space="preserve">Paid?</t>
  </si>
  <si>
    <t xml:space="preserve">Savings &amp; Investments</t>
  </si>
  <si>
    <t xml:space="preserve">Account</t>
  </si>
  <si>
    <t xml:space="preserve">Yearly Budget Dashboard</t>
  </si>
  <si>
    <t xml:space="preserve">Total Income (YTD)</t>
  </si>
  <si>
    <t xml:space="preserve">Total Spent (YTD)</t>
  </si>
  <si>
    <t xml:space="preserve">Avg Savings Rate</t>
  </si>
  <si>
    <t xml:space="preserve">Net Position (YTD)</t>
  </si>
  <si>
    <t xml:space="preserve">Monthly Summary</t>
  </si>
  <si>
    <t xml:space="preserve">Jan.</t>
  </si>
  <si>
    <t xml:space="preserve">Feb.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</si>
  <si>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</si>
  <si>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</si>
  <si>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</si>
  <si>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</si>
  <si>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</si>
  <si>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</si>
  <si>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Sept</t>
  </si>
  <si>
    <t xml:space="preserve">Oct</t>
  </si>
  <si>
    <t xml:space="preserve">Nov</t>
  </si>
  <si>
    <t xml:space="preserve">Dec</t>
  </si>
  <si>
    <t xml:space="preserve">Total Expenses</t>
  </si>
  <si>
    <t xml:space="preserve">Cash Short/Extra</t>
  </si>
  <si>
    <t xml:space="preserve">Savings Rate %</t>
  </si>
  <si>
    <t xml:space="preserve">Spending by Category</t>
  </si>
  <si>
    <t xml:space="preserve">Avg/Active Mo.</t>
  </si>
  <si>
    <t xml:space="preserve">YTD Total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</si>
  <si>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</si>
  <si>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</si>
  <si>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</si>
  <si>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</si>
  <si>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</si>
  <si>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</si>
  <si>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</si>
  <si>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</si>
  <si>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Starbucks Pay (W1)</t>
  </si>
  <si>
    <t xml:space="preserve">Starbucks Pay (W2)</t>
  </si>
  <si>
    <t xml:space="preserve">Recurring</t>
  </si>
  <si>
    <t xml:space="preserve">Misc</t>
  </si>
  <si>
    <t xml:space="preserve">Lululemon for Jackie</t>
  </si>
  <si>
    <t xml:space="preserve">Japanese Food</t>
  </si>
  <si>
    <t xml:space="preserve">Bakery</t>
  </si>
  <si>
    <t xml:space="preserve">Lemonade</t>
  </si>
  <si>
    <t xml:space="preserve">Whataburger</t>
  </si>
  <si>
    <t xml:space="preserve">Snacks</t>
  </si>
  <si>
    <t xml:space="preserve">Starbucks</t>
  </si>
  <si>
    <t xml:space="preserve">Luna's Shots</t>
  </si>
  <si>
    <t xml:space="preserve">McDonalds</t>
  </si>
  <si>
    <t xml:space="preserve">Credit Card Payment</t>
  </si>
  <si>
    <t xml:space="preserve">Sent to Arianna</t>
  </si>
  <si>
    <t xml:space="preserve">HBO Max</t>
  </si>
  <si>
    <t xml:space="preserve">Gym (need to downgrade)</t>
  </si>
  <si>
    <t xml:space="preserve">Apple Music</t>
  </si>
  <si>
    <t xml:space="preserve">Walmart</t>
  </si>
  <si>
    <t xml:space="preserve">Ring Camera Membership</t>
  </si>
  <si>
    <t xml:space="preserve">Jackie's Laptop</t>
  </si>
  <si>
    <t xml:space="preserve">Target</t>
  </si>
  <si>
    <t xml:space="preserve">Dairy Queen</t>
  </si>
  <si>
    <t xml:space="preserve">Sonic</t>
  </si>
  <si>
    <t xml:space="preserve">Textbook (1)</t>
  </si>
  <si>
    <t xml:space="preserve">Coffee</t>
  </si>
  <si>
    <t xml:space="preserve">401K</t>
  </si>
  <si>
    <t xml:space="preserve">Textbook (2)</t>
  </si>
  <si>
    <t xml:space="preserve">Savings Account</t>
  </si>
  <si>
    <t xml:space="preserve">Panda</t>
  </si>
  <si>
    <t xml:space="preserve">Vending Machine</t>
  </si>
  <si>
    <t xml:space="preserve">Amazon</t>
  </si>
  <si>
    <t xml:space="preserve">Chickfila</t>
  </si>
  <si>
    <t xml:space="preserve">SEPTEMBER</t>
  </si>
  <si>
    <t xml:space="preserve">Starbucks Pay</t>
  </si>
  <si>
    <t xml:space="preserve">Petco</t>
  </si>
  <si>
    <t xml:space="preserve">Gym</t>
  </si>
  <si>
    <t xml:space="preserve">Leftover from August</t>
  </si>
  <si>
    <t xml:space="preserve">BBQ</t>
  </si>
  <si>
    <t xml:space="preserve">Roth IRA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</si>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</sst>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mm/dd/yyyy"/>
    <numFmt numFmtId="168" formatCode="_(\$* #,##0.00_);_(\$* \(#,##0.00\);_(\$* \-??_);_(@_)"/>
    <numFmt numFmtId="169" formatCode="General"/>
  </numFmts>
  <fonts count="22">
    <font>
      <sz val="12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5"/>
      <color rgb="FF1F3864"/>
      <name val="Calibri"/>
      <family val="0"/>
      <charset val="1"/>
    </font>
    <font>
      <sz val="9"/>
      <name val="Calibri"/>
      <family val="0"/>
      <charset val="1"/>
    </font>
    <font>
      <sz val="9"/>
      <color rgb="FF1E7D32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8"/>
      <color rgb="FF000000"/>
      <name val="Aptos Narrow"/>
      <family val="2"/>
    </font>
    <font>
      <sz val="11"/>
      <name val="Cambria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sz val="10"/>
      <color rgb="FF1E7D32"/>
      <name val="Calibri"/>
      <family val="0"/>
      <charset val="1"/>
    </font>
    <font>
      <i val="true"/>
      <sz val="9"/>
      <name val="Calibri"/>
      <family val="0"/>
      <charset val="1"/>
    </font>
    <font>
      <sz val="10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D6B"/>
        <bgColor rgb="FF1E7D32"/>
      </patternFill>
    </fill>
    <fill>
      <patternFill patternType="solid">
        <fgColor rgb="FFC9A227"/>
        <bgColor rgb="FFEEA18B"/>
      </patternFill>
    </fill>
    <fill>
      <patternFill patternType="solid">
        <fgColor rgb="FFEAF2F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7D32"/>
      <rgbColor rgb="FF000080"/>
      <rgbColor rgb="FF459428"/>
      <rgbColor rgb="FF800080"/>
      <rgbColor rgb="FF0D8CBD"/>
      <rgbColor rgb="FFB3B3B3"/>
      <rgbColor rgb="FF808080"/>
      <rgbColor rgb="FFB0B0B0"/>
      <rgbColor rgb="FF8E2682"/>
      <rgbColor rgb="FFEAF2F0"/>
      <rgbColor rgb="FFC6E0B4"/>
      <rgbColor rgb="FF660066"/>
      <rgbColor rgb="FFCF642C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CCFFFF"/>
      <rgbColor rgb="FFC6EFCE"/>
      <rgbColor rgb="FFFFC7CE"/>
      <rgbColor rgb="FF99CCFF"/>
      <rgbColor rgb="FFEEA18B"/>
      <rgbColor rgb="FFCC99FF"/>
      <rgbColor rgb="FFF8CBAD"/>
      <rgbColor rgb="FF3366FF"/>
      <rgbColor rgb="FF33CCCC"/>
      <rgbColor rgb="FF99CC00"/>
      <rgbColor rgb="FFFFCC00"/>
      <rgbColor rgb="FFC9A227"/>
      <rgbColor rgb="FFE97132"/>
      <rgbColor rgb="FF666699"/>
      <rgbColor rgb="FF889AAA"/>
      <rgbColor rgb="FF1F3864"/>
      <rgbColor rgb="FF2E7D6B"/>
      <rgbColor rgb="FF006100"/>
      <rgbColor rgb="FF196B24"/>
      <rgbColor rgb="FF993300"/>
      <rgbColor rgb="FF993366"/>
      <rgbColor rgb="FF333399"/>
      <rgbColor rgb="FF165F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55347776"/>
        <c:axId val="32668116"/>
      </c:barChart>
      <c:catAx>
        <c:axId val="55347776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32668116"/>
        <c:crosses val="autoZero"/>
        <c:auto val="1"/>
        <c:lblAlgn val="ctr"/>
        <c:lblOffset val="100"/>
        <c:noMultiLvlLbl val="0"/>
      </c:catAx>
      <c:valAx>
        <c:axId val="326681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553477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Income vs. Expenses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"Total Income"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'Yearly Overview'!$E$10:$P$10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Feb.</c:v>
                  </c:pt>
                </c:lvl>
                <c:lvl>
                  <c:pt idx="0">
                    <c:v>Jan.</c:v>
                  </c:pt>
                </c:lvl>
              </c:multiLvlStrCache>
            </c:multiLvlStrRef>
          </c:cat>
          <c:val>
            <c:numRef>
              <c:f>'Yearly Overview'!$E$11:$P$11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2654.27</c:v>
                </c:pt>
                <c:pt idx="8">
                  <c:v>2197.54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"Total Expenses"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'Yearly Overview'!$E$10:$P$10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Feb.</c:v>
                  </c:pt>
                </c:lvl>
                <c:lvl>
                  <c:pt idx="0">
                    <c:v>Jan.</c:v>
                  </c:pt>
                </c:lvl>
              </c:multiLvlStrCache>
            </c:multiLvlStrRef>
          </c:cat>
          <c:val>
            <c:numRef>
              <c:f>'Yearly Overview'!$E$15:$P$15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1937.27</c:v>
                </c:pt>
                <c:pt idx="8">
                  <c:v>369.63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081916"/>
        <c:axId val="40099166"/>
      </c:lineChart>
      <c:catAx>
        <c:axId val="250819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40099166"/>
        <c:crosses val="autoZero"/>
        <c:auto val="1"/>
        <c:lblAlgn val="ctr"/>
        <c:lblOffset val="100"/>
        <c:noMultiLvlLbl val="0"/>
      </c:catAx>
      <c:valAx>
        <c:axId val="400991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250819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Needs / Wants / Savings — Actual Spend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"Needs Actual"</c:f>
              <c:strCache>
                <c:ptCount val="1"/>
                <c:pt idx="0">
                  <c:v>Needs Actual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'Yearly Overview'!$E$10:$P$10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Feb.</c:v>
                  </c:pt>
                </c:lvl>
                <c:lvl>
                  <c:pt idx="0">
                    <c:v>Jan.</c:v>
                  </c:pt>
                </c:lvl>
              </c:multiLvlStrCache>
            </c:multiLvlStrRef>
          </c:cat>
          <c:val>
            <c:numRef>
              <c:f>'Yearly Overview'!$E$12:$P$12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981.61</c:v>
                </c:pt>
                <c:pt idx="8">
                  <c:v>232.24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"Wants Actual"</c:f>
              <c:strCache>
                <c:ptCount val="1"/>
                <c:pt idx="0">
                  <c:v>Wants Actual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'Yearly Overview'!$E$10:$P$10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Feb.</c:v>
                  </c:pt>
                </c:lvl>
                <c:lvl>
                  <c:pt idx="0">
                    <c:v>Jan.</c:v>
                  </c:pt>
                </c:lvl>
              </c:multiLvlStrCache>
            </c:multiLvlStrRef>
          </c:cat>
          <c:val>
            <c:numRef>
              <c:f>'Yearly Overview'!$E$13:$P$13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955.66</c:v>
                </c:pt>
                <c:pt idx="8">
                  <c:v>137.39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"Savings Actual"</c:f>
              <c:strCache>
                <c:ptCount val="1"/>
                <c:pt idx="0">
                  <c:v>Savings Actual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'Yearly Overview'!$E$10:$P$10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Feb.</c:v>
                  </c:pt>
                </c:lvl>
                <c:lvl>
                  <c:pt idx="0">
                    <c:v>Jan.</c:v>
                  </c:pt>
                </c:lvl>
              </c:multiLvlStrCache>
            </c:multiLvlStrRef>
          </c:cat>
          <c:val>
            <c:numRef>
              <c:f>'Yearly Overview'!$E$14:$P$14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677.65</c:v>
                </c:pt>
                <c:pt idx="8">
                  <c:v>365.67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100"/>
        <c:axId val="30970192"/>
        <c:axId val="3358256"/>
      </c:barChart>
      <c:catAx>
        <c:axId val="3097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3358256"/>
        <c:crosses val="autoZero"/>
        <c:auto val="1"/>
        <c:lblAlgn val="ctr"/>
        <c:lblOffset val="100"/>
        <c:noMultiLvlLbl val="0"/>
      </c:catAx>
      <c:valAx>
        <c:axId val="33582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30970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Spending by Category (YTD)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25573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f642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165f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d8cbd"/>
              </a:solidFill>
              <a:ln w="0">
                <a:noFill/>
              </a:ln>
            </c:spPr>
          </c:dPt>
          <c:dPt>
            <c:idx val="4"/>
            <c:spPr>
              <a:solidFill>
                <a:srgbClr val="8e2682"/>
              </a:solidFill>
              <a:ln w="0">
                <a:noFill/>
              </a:ln>
            </c:spPr>
          </c:dPt>
          <c:dPt>
            <c:idx val="5"/>
            <c:spPr>
              <a:solidFill>
                <a:srgbClr val="459428"/>
              </a:solidFill>
              <a:ln w="0">
                <a:noFill/>
              </a:ln>
            </c:spPr>
          </c:dPt>
          <c:dPt>
            <c:idx val="6"/>
            <c:spPr>
              <a:solidFill>
                <a:srgbClr val="889aaa"/>
              </a:solidFill>
              <a:ln w="0">
                <a:noFill/>
              </a:ln>
            </c:spPr>
          </c:dPt>
          <c:dPt>
            <c:idx val="7"/>
            <c:spPr>
              <a:solidFill>
                <a:srgbClr val="eea18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  <a:ea typeface="Aptos Narrow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'Yearly Overview'!$C$22:$C$29</c:f>
              <c:strCache>
                <c:ptCount val="8"/>
                <c:pt idx="0">
                  <c:v>Subscriptions</c:v>
                </c:pt>
                <c:pt idx="1">
                  <c:v>Gas</c:v>
                </c:pt>
                <c:pt idx="2">
                  <c:v>Other</c:v>
                </c:pt>
                <c:pt idx="3">
                  <c:v>Groceries</c:v>
                </c:pt>
                <c:pt idx="4">
                  <c:v>Dining out</c:v>
                </c:pt>
                <c:pt idx="5">
                  <c:v>Rent</c:v>
                </c:pt>
                <c:pt idx="6">
                  <c:v>Shopping</c:v>
                </c:pt>
                <c:pt idx="7">
                  <c:v>Credit Card</c:v>
                </c:pt>
              </c:strCache>
            </c:strRef>
          </c:cat>
          <c:val>
            <c:numRef>
              <c:f>'Yearly Overview'!$R$22:$R$29</c:f>
              <c:numCache>
                <c:formatCode>\$#,##0.00</c:formatCode>
                <c:ptCount val="8"/>
                <c:pt idx="0">
                  <c:v>63.79</c:v>
                </c:pt>
                <c:pt idx="1">
                  <c:v>93.85</c:v>
                </c:pt>
                <c:pt idx="2">
                  <c:v>537.45</c:v>
                </c:pt>
                <c:pt idx="3">
                  <c:v>70</c:v>
                </c:pt>
                <c:pt idx="4">
                  <c:v>220.45</c:v>
                </c:pt>
                <c:pt idx="5">
                  <c:v>650</c:v>
                </c:pt>
                <c:pt idx="6">
                  <c:v>271.36</c:v>
                </c:pt>
                <c:pt idx="7">
                  <c:v>400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85778606"/>
        <c:axId val="52737275"/>
      </c:barChart>
      <c:catAx>
        <c:axId val="85778606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52737275"/>
        <c:crosses val="autoZero"/>
        <c:auto val="1"/>
        <c:lblAlgn val="ctr"/>
        <c:lblOffset val="100"/>
        <c:noMultiLvlLbl val="0"/>
      </c:catAx>
      <c:valAx>
        <c:axId val="527372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857786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46402146"/>
        <c:axId val="20578855"/>
      </c:barChart>
      <c:catAx>
        <c:axId val="46402146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20578855"/>
        <c:crosses val="autoZero"/>
        <c:auto val="1"/>
        <c:lblAlgn val="ctr"/>
        <c:lblOffset val="100"/>
        <c:noMultiLvlLbl val="0"/>
      </c:catAx>
      <c:valAx>
        <c:axId val="205788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464021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17643031"/>
        <c:axId val="24119132"/>
      </c:barChart>
      <c:catAx>
        <c:axId val="17643031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24119132"/>
        <c:crosses val="autoZero"/>
        <c:auto val="1"/>
        <c:lblAlgn val="ctr"/>
        <c:lblOffset val="100"/>
        <c:noMultiLvlLbl val="0"/>
      </c:catAx>
      <c:valAx>
        <c:axId val="2411913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176430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30856360"/>
        <c:axId val="68361557"/>
      </c:barChart>
      <c:catAx>
        <c:axId val="30856360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68361557"/>
        <c:crosses val="autoZero"/>
        <c:auto val="1"/>
        <c:lblAlgn val="ctr"/>
        <c:lblOffset val="100"/>
        <c:noMultiLvlLbl val="0"/>
      </c:catAx>
      <c:valAx>
        <c:axId val="683615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308563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9369028"/>
        <c:axId val="24015602"/>
      </c:barChart>
      <c:catAx>
        <c:axId val="9369028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24015602"/>
        <c:crosses val="autoZero"/>
        <c:auto val="1"/>
        <c:lblAlgn val="ctr"/>
        <c:lblOffset val="100"/>
        <c:noMultiLvlLbl val="0"/>
      </c:catAx>
      <c:valAx>
        <c:axId val="240156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93690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24585220"/>
        <c:axId val="38006925"/>
      </c:barChart>
      <c:catAx>
        <c:axId val="24585220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38006925"/>
        <c:crosses val="autoZero"/>
        <c:auto val="1"/>
        <c:lblAlgn val="ctr"/>
        <c:lblOffset val="100"/>
        <c:noMultiLvlLbl val="0"/>
      </c:catAx>
      <c:valAx>
        <c:axId val="380069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245852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64742339"/>
        <c:axId val="42950502"/>
      </c:barChart>
      <c:catAx>
        <c:axId val="64742339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42950502"/>
        <c:crosses val="autoZero"/>
        <c:auto val="1"/>
        <c:lblAlgn val="ctr"/>
        <c:lblOffset val="100"/>
        <c:noMultiLvlLbl val="0"/>
      </c:catAx>
      <c:valAx>
        <c:axId val="429505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647423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69922801"/>
        <c:axId val="68328202"/>
      </c:barChart>
      <c:catAx>
        <c:axId val="69922801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68328202"/>
        <c:crosses val="autoZero"/>
        <c:auto val="1"/>
        <c:lblAlgn val="ctr"/>
        <c:lblOffset val="100"/>
        <c:noMultiLvlLbl val="0"/>
      </c:catAx>
      <c:valAx>
        <c:axId val="683282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699228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19429187"/>
        <c:axId val="56415823"/>
      </c:barChart>
      <c:catAx>
        <c:axId val="19429187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56415823"/>
        <c:crosses val="autoZero"/>
        <c:auto val="1"/>
        <c:lblAlgn val="ctr"/>
        <c:lblOffset val="100"/>
        <c:noMultiLvlLbl val="0"/>
      </c:catAx>
      <c:valAx>
        <c:axId val="564158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194291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7629929"/>
        <c:axId val="98389781"/>
      </c:barChart>
      <c:catAx>
        <c:axId val="7629929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98389781"/>
        <c:crosses val="autoZero"/>
        <c:auto val="1"/>
        <c:lblAlgn val="ctr"/>
        <c:lblOffset val="100"/>
        <c:noMultiLvlLbl val="0"/>
      </c:catAx>
      <c:valAx>
        <c:axId val="983897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76299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41490566"/>
        <c:axId val="52627873"/>
      </c:barChart>
      <c:catAx>
        <c:axId val="41490566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52627873"/>
        <c:crosses val="autoZero"/>
        <c:auto val="1"/>
        <c:lblAlgn val="ctr"/>
        <c:lblOffset val="100"/>
        <c:noMultiLvlLbl val="0"/>
      </c:catAx>
      <c:valAx>
        <c:axId val="526278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414905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  <a:ea typeface="Aptos Narrow"/>
              </a:rPr>
              <a:t>Budgeted vs.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97132"/>
            </a:solidFill>
            <a:ln w="0">
              <a:noFill/>
            </a:ln>
          </c:spPr>
          <c:invertIfNegative val="0"/>
        </c:ser>
        <c:gapWidth val="150"/>
        <c:overlap val="0"/>
        <c:axId val="55116683"/>
        <c:axId val="46437381"/>
      </c:barChart>
      <c:catAx>
        <c:axId val="55116683"/>
        <c:scaling>
          <c:orientation val="minMax"/>
        </c:scaling>
        <c:delete val="0"/>
        <c:axPos val="b"/>
        <c:numFmt formatCode="[$-409]mm/dd/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46437381"/>
        <c:crosses val="autoZero"/>
        <c:auto val="1"/>
        <c:lblAlgn val="ctr"/>
        <c:lblOffset val="100"/>
        <c:noMultiLvlLbl val="0"/>
      </c:catAx>
      <c:valAx>
        <c:axId val="464373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ptos Narrow"/>
                <a:ea typeface="Aptos Narrow"/>
              </a:defRPr>
            </a:pPr>
          </a:p>
        </c:txPr>
        <c:crossAx val="551166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ptos Narrow"/>
              <a:ea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1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4.xml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0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31</xdr:row>
      <xdr:rowOff>0</xdr:rowOff>
    </xdr:from>
    <xdr:to>
      <xdr:col>6</xdr:col>
      <xdr:colOff>318960</xdr:colOff>
      <xdr:row>45</xdr:row>
      <xdr:rowOff>79200</xdr:rowOff>
    </xdr:to>
    <xdr:graphicFrame>
      <xdr:nvGraphicFramePr>
        <xdr:cNvPr id="1" name="Chart 1"/>
        <xdr:cNvGraphicFramePr/>
      </xdr:nvGraphicFramePr>
      <xdr:xfrm>
        <a:off x="582840" y="6200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48</xdr:row>
      <xdr:rowOff>0</xdr:rowOff>
    </xdr:from>
    <xdr:to>
      <xdr:col>6</xdr:col>
      <xdr:colOff>318960</xdr:colOff>
      <xdr:row>62</xdr:row>
      <xdr:rowOff>79200</xdr:rowOff>
    </xdr:to>
    <xdr:graphicFrame>
      <xdr:nvGraphicFramePr>
        <xdr:cNvPr id="2" name="Chart 2"/>
        <xdr:cNvGraphicFramePr/>
      </xdr:nvGraphicFramePr>
      <xdr:xfrm>
        <a:off x="582840" y="96012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48</xdr:row>
      <xdr:rowOff>0</xdr:rowOff>
    </xdr:from>
    <xdr:to>
      <xdr:col>13</xdr:col>
      <xdr:colOff>393480</xdr:colOff>
      <xdr:row>65</xdr:row>
      <xdr:rowOff>199080</xdr:rowOff>
    </xdr:to>
    <xdr:graphicFrame>
      <xdr:nvGraphicFramePr>
        <xdr:cNvPr id="3" name="Chart 3"/>
        <xdr:cNvGraphicFramePr/>
      </xdr:nvGraphicFramePr>
      <xdr:xfrm>
        <a:off x="10589760" y="9601200"/>
        <a:ext cx="35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4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5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6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7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8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9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10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11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12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13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14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145440</xdr:rowOff>
    </xdr:from>
    <xdr:to>
      <xdr:col>3</xdr:col>
      <xdr:colOff>879480</xdr:colOff>
      <xdr:row>18</xdr:row>
      <xdr:rowOff>19080</xdr:rowOff>
    </xdr:to>
    <xdr:graphicFrame>
      <xdr:nvGraphicFramePr>
        <xdr:cNvPr id="15" name="Chart 1"/>
        <xdr:cNvGraphicFramePr/>
      </xdr:nvGraphicFramePr>
      <xdr:xfrm>
        <a:off x="194400" y="1504800"/>
        <a:ext cx="359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illsTbl_Apr" displayName="BillsTbl_Apr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2.xml><?xml version="1.0" encoding="utf-8"?>
<table xmlns="http://schemas.openxmlformats.org/spreadsheetml/2006/main" id="2" name="BillsTbl_Aug" displayName="BillsTbl_Aug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3.xml><?xml version="1.0" encoding="utf-8"?>
<table xmlns="http://schemas.openxmlformats.org/spreadsheetml/2006/main" id="3" name="BillsTbl_Dec" displayName="BillsTbl_Dec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4.xml><?xml version="1.0" encoding="utf-8"?>
<table xmlns="http://schemas.openxmlformats.org/spreadsheetml/2006/main" id="4" name="BillsTbl_Feb" displayName="BillsTbl_Feb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5.xml><?xml version="1.0" encoding="utf-8"?>
<table xmlns="http://schemas.openxmlformats.org/spreadsheetml/2006/main" id="5" name="BillsTbl_Jan" displayName="BillsTbl_Jan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6.xml><?xml version="1.0" encoding="utf-8"?>
<table xmlns="http://schemas.openxmlformats.org/spreadsheetml/2006/main" id="6" name="BillsTbl_Jul" displayName="BillsTbl_Jul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7.xml><?xml version="1.0" encoding="utf-8"?>
<table xmlns="http://schemas.openxmlformats.org/spreadsheetml/2006/main" id="7" name="BillsTbl_Jun" displayName="BillsTbl_Jun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8.xml><?xml version="1.0" encoding="utf-8"?>
<table xmlns="http://schemas.openxmlformats.org/spreadsheetml/2006/main" id="8" name="BillsTbl_Mar" displayName="BillsTbl_Mar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9.xml><?xml version="1.0" encoding="utf-8"?>
<table xmlns="http://schemas.openxmlformats.org/spreadsheetml/2006/main" id="9" name="BillsTbl_May" displayName="BillsTbl_May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10.xml><?xml version="1.0" encoding="utf-8"?>
<table xmlns="http://schemas.openxmlformats.org/spreadsheetml/2006/main" id="10" name="BillsTbl_MonthlySpendingTemplate" displayName="BillsTbl_MonthlySpendingTemplate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11.xml><?xml version="1.0" encoding="utf-8"?>
<table xmlns="http://schemas.openxmlformats.org/spreadsheetml/2006/main" id="11" name="BillsTbl_Nov" displayName="BillsTbl_Nov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12.xml><?xml version="1.0" encoding="utf-8"?>
<table xmlns="http://schemas.openxmlformats.org/spreadsheetml/2006/main" id="12" name="BillsTbl_Oct" displayName="BillsTbl_Oct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13.xml><?xml version="1.0" encoding="utf-8"?>
<table xmlns="http://schemas.openxmlformats.org/spreadsheetml/2006/main" id="13" name="BillsTbl_Sep" displayName="BillsTbl_Sep" ref="B38:F50" headerRowCount="1" totalsRowCount="0" totalsRowShown="0">
  <autoFilter ref="B38:F50"/>
  <tableColumns count="5">
    <tableColumn id="1" name="Bill Name"/>
    <tableColumn id="2" name="Category"/>
    <tableColumn id="3" name="Amount"/>
    <tableColumn id="4" name="Paid?"/>
    <tableColumn id="5" name="Actual"/>
  </tableColumns>
</table>
</file>

<file path=xl/tables/table14.xml><?xml version="1.0" encoding="utf-8"?>
<table xmlns="http://schemas.openxmlformats.org/spreadsheetml/2006/main" id="14" name="IncomeTbl_Apr" displayName="IncomeTbl_Apr" ref="B23:C29" headerRowCount="1" totalsRowCount="0" totalsRowShown="0">
  <autoFilter ref="B23:C29"/>
  <tableColumns count="2">
    <tableColumn id="1" name="Source"/>
    <tableColumn id="2" name="Amount"/>
  </tableColumns>
</table>
</file>

<file path=xl/tables/table15.xml><?xml version="1.0" encoding="utf-8"?>
<table xmlns="http://schemas.openxmlformats.org/spreadsheetml/2006/main" id="15" name="IncomeTbl_Aug" displayName="IncomeTbl_Aug" ref="B23:C29" headerRowCount="1" totalsRowCount="0" totalsRowShown="0">
  <autoFilter ref="B23:C29"/>
  <tableColumns count="2">
    <tableColumn id="1" name="Source"/>
    <tableColumn id="2" name="Amount"/>
  </tableColumns>
</table>
</file>

<file path=xl/tables/table16.xml><?xml version="1.0" encoding="utf-8"?>
<table xmlns="http://schemas.openxmlformats.org/spreadsheetml/2006/main" id="16" name="IncomeTbl_Dec" displayName="IncomeTbl_Dec" ref="B23:C29" headerRowCount="1" totalsRowCount="0" totalsRowShown="0">
  <autoFilter ref="B23:C29"/>
  <tableColumns count="2">
    <tableColumn id="1" name="Source"/>
    <tableColumn id="2" name="Amount"/>
  </tableColumns>
</table>
</file>

<file path=xl/tables/table17.xml><?xml version="1.0" encoding="utf-8"?>
<table xmlns="http://schemas.openxmlformats.org/spreadsheetml/2006/main" id="17" name="IncomeTbl_Feb" displayName="IncomeTbl_Feb" ref="B23:C29" headerRowCount="1" totalsRowCount="0" totalsRowShown="0">
  <autoFilter ref="B23:C29"/>
  <tableColumns count="2">
    <tableColumn id="1" name="Source"/>
    <tableColumn id="2" name="Amount"/>
  </tableColumns>
</table>
</file>

<file path=xl/tables/table18.xml><?xml version="1.0" encoding="utf-8"?>
<table xmlns="http://schemas.openxmlformats.org/spreadsheetml/2006/main" id="18" name="IncomeTbl_Jan" displayName="IncomeTbl_Jan" ref="B23:C29" headerRowCount="1" totalsRowCount="0" totalsRowShown="0">
  <autoFilter ref="B23:C29"/>
  <tableColumns count="2">
    <tableColumn id="1" name="Source"/>
    <tableColumn id="2" name="Amount"/>
  </tableColumns>
</table>
</file>

<file path=xl/tables/table19.xml><?xml version="1.0" encoding="utf-8"?>
<table xmlns="http://schemas.openxmlformats.org/spreadsheetml/2006/main" id="19" name="IncomeTbl_Jul" displayName="IncomeTbl_Jul" ref="B23:C29" headerRowCount="1" totalsRowCount="0" totalsRowShown="0">
  <autoFilter ref="B23:C29"/>
  <tableColumns count="2">
    <tableColumn id="1" name="Source"/>
    <tableColumn id="2" name="Amount"/>
  </tableColumns>
</table>
</file>

<file path=xl/tables/table20.xml><?xml version="1.0" encoding="utf-8"?>
<table xmlns="http://schemas.openxmlformats.org/spreadsheetml/2006/main" id="20" name="IncomeTbl_Jun" displayName="IncomeTbl_Jun" ref="B23:C29" headerRowCount="1" totalsRowCount="0" totalsRowShown="0">
  <autoFilter ref="B23:C29"/>
  <tableColumns count="2">
    <tableColumn id="1" name="Source"/>
    <tableColumn id="2" name="Amount"/>
  </tableColumns>
</table>
</file>

<file path=xl/tables/table21.xml><?xml version="1.0" encoding="utf-8"?>
<table xmlns="http://schemas.openxmlformats.org/spreadsheetml/2006/main" id="21" name="IncomeTbl_Mar" displayName="IncomeTbl_Mar" ref="B23:C29" headerRowCount="1" totalsRowCount="0" totalsRowShown="0">
  <autoFilter ref="B23:C29"/>
  <tableColumns count="2">
    <tableColumn id="1" name="Source"/>
    <tableColumn id="2" name="Amount"/>
  </tableColumns>
</table>
</file>

<file path=xl/tables/table22.xml><?xml version="1.0" encoding="utf-8"?>
<table xmlns="http://schemas.openxmlformats.org/spreadsheetml/2006/main" id="22" name="IncomeTbl_May" displayName="IncomeTbl_May" ref="B23:C29" headerRowCount="1" totalsRowCount="0" totalsRowShown="0">
  <autoFilter ref="B23:C29"/>
  <tableColumns count="2">
    <tableColumn id="1" name="Source"/>
    <tableColumn id="2" name="Amount"/>
  </tableColumns>
</table>
</file>

<file path=xl/tables/table23.xml><?xml version="1.0" encoding="utf-8"?>
<table xmlns="http://schemas.openxmlformats.org/spreadsheetml/2006/main" id="23" name="IncomeTbl_MonthlySpendingTemplate" displayName="IncomeTbl_MonthlySpendingTemplate" ref="B23:C29" headerRowCount="1" totalsRowCount="0" totalsRowShown="0">
  <autoFilter ref="B23:C29"/>
  <tableColumns count="2">
    <tableColumn id="1" name="Source"/>
    <tableColumn id="2" name="Amount"/>
  </tableColumns>
</table>
</file>

<file path=xl/tables/table24.xml><?xml version="1.0" encoding="utf-8"?>
<table xmlns="http://schemas.openxmlformats.org/spreadsheetml/2006/main" id="24" name="IncomeTbl_Nov" displayName="IncomeTbl_Nov" ref="B23:C29" headerRowCount="1" totalsRowCount="0" totalsRowShown="0">
  <autoFilter ref="B23:C29"/>
  <tableColumns count="2">
    <tableColumn id="1" name="Source"/>
    <tableColumn id="2" name="Amount"/>
  </tableColumns>
</table>
</file>

<file path=xl/tables/table25.xml><?xml version="1.0" encoding="utf-8"?>
<table xmlns="http://schemas.openxmlformats.org/spreadsheetml/2006/main" id="25" name="IncomeTbl_Oct" displayName="IncomeTbl_Oct" ref="B23:C29" headerRowCount="1" totalsRowCount="0" totalsRowShown="0">
  <autoFilter ref="B23:C29"/>
  <tableColumns count="2">
    <tableColumn id="1" name="Source"/>
    <tableColumn id="2" name="Amount"/>
  </tableColumns>
</table>
</file>

<file path=xl/tables/table26.xml><?xml version="1.0" encoding="utf-8"?>
<table xmlns="http://schemas.openxmlformats.org/spreadsheetml/2006/main" id="26" name="IncomeTbl_Sep" displayName="IncomeTbl_Sep" ref="B23:C29" headerRowCount="1" totalsRowCount="0" totalsRowShown="0">
  <autoFilter ref="B23:C29"/>
  <tableColumns count="2">
    <tableColumn id="1" name="Source"/>
    <tableColumn id="2" name="Amount"/>
  </tableColumns>
</table>
</file>

<file path=xl/tables/table27.xml><?xml version="1.0" encoding="utf-8"?>
<table xmlns="http://schemas.openxmlformats.org/spreadsheetml/2006/main" id="27" name="SavingsTbl_Apr" displayName="SavingsTbl_Apr" ref="B54:C59" headerRowCount="1" totalsRowCount="0" totalsRowShown="0">
  <autoFilter ref="B54:C59"/>
  <tableColumns count="2">
    <tableColumn id="1" name="Account"/>
    <tableColumn id="2" name="Amount"/>
  </tableColumns>
</table>
</file>

<file path=xl/tables/table28.xml><?xml version="1.0" encoding="utf-8"?>
<table xmlns="http://schemas.openxmlformats.org/spreadsheetml/2006/main" id="28" name="SavingsTbl_Aug" displayName="SavingsTbl_Aug" ref="B54:C59" headerRowCount="1" totalsRowCount="0" totalsRowShown="0">
  <autoFilter ref="B54:C59"/>
  <tableColumns count="2">
    <tableColumn id="1" name="Account"/>
    <tableColumn id="2" name="Amount"/>
  </tableColumns>
</table>
</file>

<file path=xl/tables/table29.xml><?xml version="1.0" encoding="utf-8"?>
<table xmlns="http://schemas.openxmlformats.org/spreadsheetml/2006/main" id="29" name="SavingsTbl_Dec" displayName="SavingsTbl_Dec" ref="B54:C59" headerRowCount="1" totalsRowCount="0" totalsRowShown="0">
  <autoFilter ref="B54:C59"/>
  <tableColumns count="2">
    <tableColumn id="1" name="Account"/>
    <tableColumn id="2" name="Amount"/>
  </tableColumns>
</table>
</file>

<file path=xl/tables/table30.xml><?xml version="1.0" encoding="utf-8"?>
<table xmlns="http://schemas.openxmlformats.org/spreadsheetml/2006/main" id="30" name="SavingsTbl_Feb" displayName="SavingsTbl_Feb" ref="B54:C59" headerRowCount="1" totalsRowCount="0" totalsRowShown="0">
  <autoFilter ref="B54:C59"/>
  <tableColumns count="2">
    <tableColumn id="1" name="Account"/>
    <tableColumn id="2" name="Amount"/>
  </tableColumns>
</table>
</file>

<file path=xl/tables/table31.xml><?xml version="1.0" encoding="utf-8"?>
<table xmlns="http://schemas.openxmlformats.org/spreadsheetml/2006/main" id="31" name="SavingsTbl_Jan" displayName="SavingsTbl_Jan" ref="B54:C59" headerRowCount="1" totalsRowCount="0" totalsRowShown="0">
  <autoFilter ref="B54:C59"/>
  <tableColumns count="2">
    <tableColumn id="1" name="Account"/>
    <tableColumn id="2" name="Amount"/>
  </tableColumns>
</table>
</file>

<file path=xl/tables/table32.xml><?xml version="1.0" encoding="utf-8"?>
<table xmlns="http://schemas.openxmlformats.org/spreadsheetml/2006/main" id="32" name="SavingsTbl_Jul" displayName="SavingsTbl_Jul" ref="B54:C59" headerRowCount="1" totalsRowCount="0" totalsRowShown="0">
  <autoFilter ref="B54:C59"/>
  <tableColumns count="2">
    <tableColumn id="1" name="Account"/>
    <tableColumn id="2" name="Amount"/>
  </tableColumns>
</table>
</file>

<file path=xl/tables/table33.xml><?xml version="1.0" encoding="utf-8"?>
<table xmlns="http://schemas.openxmlformats.org/spreadsheetml/2006/main" id="33" name="SavingsTbl_Jun" displayName="SavingsTbl_Jun" ref="B54:C59" headerRowCount="1" totalsRowCount="0" totalsRowShown="0">
  <autoFilter ref="B54:C59"/>
  <tableColumns count="2">
    <tableColumn id="1" name="Account"/>
    <tableColumn id="2" name="Amount"/>
  </tableColumns>
</table>
</file>

<file path=xl/tables/table34.xml><?xml version="1.0" encoding="utf-8"?>
<table xmlns="http://schemas.openxmlformats.org/spreadsheetml/2006/main" id="34" name="SavingsTbl_Mar" displayName="SavingsTbl_Mar" ref="B54:C59" headerRowCount="1" totalsRowCount="0" totalsRowShown="0">
  <autoFilter ref="B54:C59"/>
  <tableColumns count="2">
    <tableColumn id="1" name="Account"/>
    <tableColumn id="2" name="Amount"/>
  </tableColumns>
</table>
</file>

<file path=xl/tables/table35.xml><?xml version="1.0" encoding="utf-8"?>
<table xmlns="http://schemas.openxmlformats.org/spreadsheetml/2006/main" id="35" name="SavingsTbl_May" displayName="SavingsTbl_May" ref="B54:C59" headerRowCount="1" totalsRowCount="0" totalsRowShown="0">
  <autoFilter ref="B54:C59"/>
  <tableColumns count="2">
    <tableColumn id="1" name="Account"/>
    <tableColumn id="2" name="Amount"/>
  </tableColumns>
</table>
</file>

<file path=xl/tables/table36.xml><?xml version="1.0" encoding="utf-8"?>
<table xmlns="http://schemas.openxmlformats.org/spreadsheetml/2006/main" id="36" name="SavingsTbl_MonthlySpendingTemplate" displayName="SavingsTbl_MonthlySpendingTemplate" ref="B54:C59" headerRowCount="1" totalsRowCount="0" totalsRowShown="0">
  <autoFilter ref="B54:C59"/>
  <tableColumns count="2">
    <tableColumn id="1" name="Account"/>
    <tableColumn id="2" name="Amount"/>
  </tableColumns>
</table>
</file>

<file path=xl/tables/table37.xml><?xml version="1.0" encoding="utf-8"?>
<table xmlns="http://schemas.openxmlformats.org/spreadsheetml/2006/main" id="37" name="SavingsTbl_Nov" displayName="SavingsTbl_Nov" ref="B54:C59" headerRowCount="1" totalsRowCount="0" totalsRowShown="0">
  <autoFilter ref="B54:C59"/>
  <tableColumns count="2">
    <tableColumn id="1" name="Account"/>
    <tableColumn id="2" name="Amount"/>
  </tableColumns>
</table>
</file>

<file path=xl/tables/table38.xml><?xml version="1.0" encoding="utf-8"?>
<table xmlns="http://schemas.openxmlformats.org/spreadsheetml/2006/main" id="38" name="SavingsTbl_Oct" displayName="SavingsTbl_Oct" ref="B54:C59" headerRowCount="1" totalsRowCount="0" totalsRowShown="0">
  <autoFilter ref="B54:C59"/>
  <tableColumns count="2">
    <tableColumn id="1" name="Account"/>
    <tableColumn id="2" name="Amount"/>
  </tableColumns>
</table>
</file>

<file path=xl/tables/table39.xml><?xml version="1.0" encoding="utf-8"?>
<table xmlns="http://schemas.openxmlformats.org/spreadsheetml/2006/main" id="39" name="SavingsTbl_Sep" displayName="SavingsTbl_Sep" ref="B54:C59" headerRowCount="1" totalsRowCount="0" totalsRowShown="0">
  <autoFilter ref="B54:C59"/>
  <tableColumns count="2">
    <tableColumn id="1" name="Account"/>
    <tableColumn id="2" name="Amount"/>
  </tableColumns>
</table>
</file>

<file path=xl/tables/table40.xml><?xml version="1.0" encoding="utf-8"?>
<table xmlns="http://schemas.openxmlformats.org/spreadsheetml/2006/main" id="40" name="TxnTbl_Apr" displayName="TxnTbl_Apr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ables/table41.xml><?xml version="1.0" encoding="utf-8"?>
<table xmlns="http://schemas.openxmlformats.org/spreadsheetml/2006/main" id="41" name="TxnTbl_Aug" displayName="TxnTbl_Aug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ables/table42.xml><?xml version="1.0" encoding="utf-8"?>
<table xmlns="http://schemas.openxmlformats.org/spreadsheetml/2006/main" id="42" name="TxnTbl_Dec" displayName="TxnTbl_Dec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ables/table43.xml><?xml version="1.0" encoding="utf-8"?>
<table xmlns="http://schemas.openxmlformats.org/spreadsheetml/2006/main" id="43" name="TxnTbl_Feb" displayName="TxnTbl_Feb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ables/table44.xml><?xml version="1.0" encoding="utf-8"?>
<table xmlns="http://schemas.openxmlformats.org/spreadsheetml/2006/main" id="44" name="TxnTbl_Jan" displayName="TxnTbl_Jan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ables/table45.xml><?xml version="1.0" encoding="utf-8"?>
<table xmlns="http://schemas.openxmlformats.org/spreadsheetml/2006/main" id="45" name="TxnTbl_Jul" displayName="TxnTbl_Jul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ables/table46.xml><?xml version="1.0" encoding="utf-8"?>
<table xmlns="http://schemas.openxmlformats.org/spreadsheetml/2006/main" id="46" name="TxnTbl_Jun" displayName="TxnTbl_Jun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ables/table47.xml><?xml version="1.0" encoding="utf-8"?>
<table xmlns="http://schemas.openxmlformats.org/spreadsheetml/2006/main" id="47" name="TxnTbl_Mar" displayName="TxnTbl_Mar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ables/table48.xml><?xml version="1.0" encoding="utf-8"?>
<table xmlns="http://schemas.openxmlformats.org/spreadsheetml/2006/main" id="48" name="TxnTbl_May" displayName="TxnTbl_May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ables/table49.xml><?xml version="1.0" encoding="utf-8"?>
<table xmlns="http://schemas.openxmlformats.org/spreadsheetml/2006/main" id="49" name="TxnTbl_MonthlySpendingTemplate" displayName="TxnTbl_MonthlySpendingTemplate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ables/table50.xml><?xml version="1.0" encoding="utf-8"?>
<table xmlns="http://schemas.openxmlformats.org/spreadsheetml/2006/main" id="50" name="TxnTbl_Nov" displayName="TxnTbl_Nov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ables/table51.xml><?xml version="1.0" encoding="utf-8"?>
<table xmlns="http://schemas.openxmlformats.org/spreadsheetml/2006/main" id="51" name="TxnTbl_Oct" displayName="TxnTbl_Oct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ables/table52.xml><?xml version="1.0" encoding="utf-8"?>
<table xmlns="http://schemas.openxmlformats.org/spreadsheetml/2006/main" id="52" name="TxnTbl_Sep" displayName="TxnTbl_Sep" ref="I23:L68" headerRowCount="1" totalsRowCount="0" totalsRowShown="0">
  <autoFilter ref="I23:L68"/>
  <tableColumns count="4">
    <tableColumn id="1" name="Date"/>
    <tableColumn id="2" name="Category"/>
    <tableColumn id="3" name="Amount"/>
    <tableColumn id="4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0.xml"/><Relationship Id="rId3" Type="http://schemas.openxmlformats.org/officeDocument/2006/relationships/table" Target="../tables/table23.xml"/><Relationship Id="rId4" Type="http://schemas.openxmlformats.org/officeDocument/2006/relationships/table" Target="../tables/table36.xml"/><Relationship Id="rId5" Type="http://schemas.openxmlformats.org/officeDocument/2006/relationships/table" Target="../tables/table49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5.xml"/><Relationship Id="rId3" Type="http://schemas.openxmlformats.org/officeDocument/2006/relationships/table" Target="../tables/table18.xml"/><Relationship Id="rId4" Type="http://schemas.openxmlformats.org/officeDocument/2006/relationships/table" Target="../tables/table31.xml"/><Relationship Id="rId5" Type="http://schemas.openxmlformats.org/officeDocument/2006/relationships/table" Target="../tables/table4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<Relationship Id="rId3" Type="http://schemas.openxmlformats.org/officeDocument/2006/relationships/table" Target="../tables/table17.xml"/><Relationship Id="rId4" Type="http://schemas.openxmlformats.org/officeDocument/2006/relationships/table" Target="../tables/table30.xml"/><Relationship Id="rId5" Type="http://schemas.openxmlformats.org/officeDocument/2006/relationships/table" Target="../tables/table4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8.xml"/><Relationship Id="rId3" Type="http://schemas.openxmlformats.org/officeDocument/2006/relationships/table" Target="../tables/table21.xml"/><Relationship Id="rId4" Type="http://schemas.openxmlformats.org/officeDocument/2006/relationships/table" Target="../tables/table34.xml"/><Relationship Id="rId5" Type="http://schemas.openxmlformats.org/officeDocument/2006/relationships/table" Target="../tables/table4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<Relationship Id="rId3" Type="http://schemas.openxmlformats.org/officeDocument/2006/relationships/table" Target="../tables/table14.xml"/><Relationship Id="rId4" Type="http://schemas.openxmlformats.org/officeDocument/2006/relationships/table" Target="../tables/table27.xml"/><Relationship Id="rId5" Type="http://schemas.openxmlformats.org/officeDocument/2006/relationships/table" Target="../tables/table4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9.xml"/><Relationship Id="rId3" Type="http://schemas.openxmlformats.org/officeDocument/2006/relationships/table" Target="../tables/table22.xml"/><Relationship Id="rId4" Type="http://schemas.openxmlformats.org/officeDocument/2006/relationships/table" Target="../tables/table35.xml"/><Relationship Id="rId5" Type="http://schemas.openxmlformats.org/officeDocument/2006/relationships/table" Target="../tables/table4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7.xml"/><Relationship Id="rId3" Type="http://schemas.openxmlformats.org/officeDocument/2006/relationships/table" Target="../tables/table20.xml"/><Relationship Id="rId4" Type="http://schemas.openxmlformats.org/officeDocument/2006/relationships/table" Target="../tables/table33.xml"/><Relationship Id="rId5" Type="http://schemas.openxmlformats.org/officeDocument/2006/relationships/table" Target="../tables/table4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6.xml"/><Relationship Id="rId3" Type="http://schemas.openxmlformats.org/officeDocument/2006/relationships/table" Target="../tables/table19.xml"/><Relationship Id="rId4" Type="http://schemas.openxmlformats.org/officeDocument/2006/relationships/table" Target="../tables/table32.xml"/><Relationship Id="rId5" Type="http://schemas.openxmlformats.org/officeDocument/2006/relationships/table" Target="../tables/table4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2.xml"/><Relationship Id="rId3" Type="http://schemas.openxmlformats.org/officeDocument/2006/relationships/table" Target="../tables/table15.xml"/><Relationship Id="rId4" Type="http://schemas.openxmlformats.org/officeDocument/2006/relationships/table" Target="../tables/table28.xml"/><Relationship Id="rId5" Type="http://schemas.openxmlformats.org/officeDocument/2006/relationships/table" Target="../tables/table4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13.xml"/><Relationship Id="rId3" Type="http://schemas.openxmlformats.org/officeDocument/2006/relationships/table" Target="../tables/table26.xml"/><Relationship Id="rId4" Type="http://schemas.openxmlformats.org/officeDocument/2006/relationships/table" Target="../tables/table39.xml"/><Relationship Id="rId5" Type="http://schemas.openxmlformats.org/officeDocument/2006/relationships/table" Target="../tables/table5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12.xml"/><Relationship Id="rId3" Type="http://schemas.openxmlformats.org/officeDocument/2006/relationships/table" Target="../tables/table25.xml"/><Relationship Id="rId4" Type="http://schemas.openxmlformats.org/officeDocument/2006/relationships/table" Target="../tables/table38.xml"/><Relationship Id="rId5" Type="http://schemas.openxmlformats.org/officeDocument/2006/relationships/table" Target="../tables/table5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table" Target="../tables/table11.xml"/><Relationship Id="rId3" Type="http://schemas.openxmlformats.org/officeDocument/2006/relationships/table" Target="../tables/table24.xml"/><Relationship Id="rId4" Type="http://schemas.openxmlformats.org/officeDocument/2006/relationships/table" Target="../tables/table37.xml"/><Relationship Id="rId5" Type="http://schemas.openxmlformats.org/officeDocument/2006/relationships/table" Target="../tables/table5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table" Target="../tables/table3.xml"/><Relationship Id="rId3" Type="http://schemas.openxmlformats.org/officeDocument/2006/relationships/table" Target="../tables/table16.xml"/><Relationship Id="rId4" Type="http://schemas.openxmlformats.org/officeDocument/2006/relationships/table" Target="../tables/table29.xml"/><Relationship Id="rId5" Type="http://schemas.openxmlformats.org/officeDocument/2006/relationships/table" Target="../tables/table4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SUM(IncomeTbl_MonthlySpendingTemplate[Amount])</f>
        <v>0</v>
      </c>
      <c r="C6" s="6"/>
      <c r="D6" s="6" t="n">
        <f aca="false">R6+R7</f>
        <v>0</v>
      </c>
      <c r="E6" s="6"/>
      <c r="F6" s="6" t="n">
        <f aca="false">B6-D6</f>
        <v>0</v>
      </c>
      <c r="G6" s="6"/>
      <c r="H6" s="7" t="n">
        <f aca="false">IFERROR(R8/B6,0)</f>
        <v>0</v>
      </c>
      <c r="I6" s="7"/>
      <c r="J6" s="8" t="str">
        <f aca="false">COUNTIF(BillsTbl_MonthlySpendingTemplate[Paid?],TRUE())&amp;" / "&amp;COUNTA(BillsTbl_MonthlySpendingTemplate[Bill Name])</f>
        <v>0 / 0</v>
      </c>
      <c r="K6" s="8"/>
      <c r="Q6" s="9" t="s">
        <v>9</v>
      </c>
      <c r="R6" s="10" t="n">
        <f aca="false">O31+O27+O25+O29</f>
        <v>0</v>
      </c>
      <c r="T6" s="5" t="s">
        <v>10</v>
      </c>
      <c r="U6" s="11" t="n">
        <f aca="false">C33</f>
        <v>0</v>
      </c>
      <c r="V6" s="11" t="n">
        <f aca="false">R6</f>
        <v>0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0</v>
      </c>
      <c r="T7" s="5" t="s">
        <v>12</v>
      </c>
      <c r="U7" s="11" t="n">
        <f aca="false">C34</f>
        <v>0</v>
      </c>
      <c r="V7" s="11" t="n">
        <f aca="false">R7</f>
        <v>0</v>
      </c>
    </row>
    <row r="8" customFormat="false" ht="15" hidden="false" customHeight="false" outlineLevel="0" collapsed="false">
      <c r="Q8" s="9" t="s">
        <v>13</v>
      </c>
      <c r="R8" s="10" t="n">
        <f aca="false">SUM(SavingsTbl_MonthlySpendingTemplate[Amount])</f>
        <v>0</v>
      </c>
      <c r="T8" s="5" t="s">
        <v>14</v>
      </c>
      <c r="U8" s="11" t="n">
        <f aca="false">C35</f>
        <v>0</v>
      </c>
      <c r="V8" s="11" t="n">
        <f aca="false">R8</f>
        <v>0</v>
      </c>
    </row>
    <row r="9" customFormat="false" ht="15" hidden="false" customHeight="false" outlineLevel="0" collapsed="false">
      <c r="Q9" s="9" t="s">
        <v>2</v>
      </c>
      <c r="R9" s="12" t="n">
        <f aca="false">R6+R7</f>
        <v>0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C24" s="11"/>
      <c r="I24" s="16"/>
      <c r="K24" s="11"/>
      <c r="N24" s="17" t="s">
        <v>24</v>
      </c>
      <c r="O24" s="18" t="n">
        <f aca="false">SUMIFS(BillsTbl_MonthlySpendingTemplate[Actual],BillsTbl_MonthlySpendingTemplate[Category],"Subscriptions")+SUMIFS(TxnTbl_MonthlySpendingTemplate[Amount],TxnTbl_MonthlySpendingTemplate[Category],"Subscriptions")</f>
        <v>0</v>
      </c>
    </row>
    <row r="25" customFormat="false" ht="15" hidden="false" customHeight="false" outlineLevel="0" collapsed="false">
      <c r="C25" s="11"/>
      <c r="I25" s="16"/>
      <c r="K25" s="11"/>
      <c r="N25" s="17" t="s">
        <v>25</v>
      </c>
      <c r="O25" s="18" t="n">
        <f aca="false">SUMIFS(BillsTbl_MonthlySpendingTemplate[Actual],BillsTbl_MonthlySpendingTemplate[Category],"Gas")+SUMIFS(TxnTbl_MonthlySpendingTemplate[Amount],TxnTbl_MonthlySpendingTemplate[Category],"Gas")</f>
        <v>0</v>
      </c>
    </row>
    <row r="26" customFormat="false" ht="15" hidden="false" customHeight="false" outlineLevel="0" collapsed="false">
      <c r="C26" s="11"/>
      <c r="I26" s="16"/>
      <c r="K26" s="11"/>
      <c r="N26" s="17" t="s">
        <v>26</v>
      </c>
      <c r="O26" s="18" t="n">
        <f aca="false">SUMIFS(BillsTbl_MonthlySpendingTemplate[Actual],BillsTbl_MonthlySpendingTemplate[Category],"Other")+SUMIFS(TxnTbl_MonthlySpendingTemplate[Amount],TxnTbl_MonthlySpendingTemplate[Category],"Other")</f>
        <v>0</v>
      </c>
    </row>
    <row r="27" customFormat="false" ht="15" hidden="false" customHeight="false" outlineLevel="0" collapsed="false">
      <c r="C27" s="11"/>
      <c r="I27" s="16"/>
      <c r="K27" s="11"/>
      <c r="N27" s="17" t="s">
        <v>27</v>
      </c>
      <c r="O27" s="18" t="n">
        <f aca="false">SUMIFS(BillsTbl_MonthlySpendingTemplate[Actual],BillsTbl_MonthlySpendingTemplate[Category],"Groceries")+SUMIFS(TxnTbl_MonthlySpendingTemplate[Amount],TxnTbl_MonthlySpendingTemplate[Category],"Groceries")</f>
        <v>0</v>
      </c>
    </row>
    <row r="28" customFormat="false" ht="15" hidden="false" customHeight="false" outlineLevel="0" collapsed="false">
      <c r="C28" s="11"/>
      <c r="I28" s="16"/>
      <c r="K28" s="11"/>
      <c r="N28" s="17" t="s">
        <v>28</v>
      </c>
      <c r="O28" s="18" t="n">
        <f aca="false">SUMIFS(BillsTbl_MonthlySpendingTemplate[Actual],BillsTbl_MonthlySpendingTemplate[Category],"Dining out")+SUMIFS(TxnTbl_MonthlySpendingTemplate[Amount],TxnTbl_MonthlySpendingTemplate[Category],"Dining out")</f>
        <v>0</v>
      </c>
    </row>
    <row r="29" customFormat="false" ht="15" hidden="false" customHeight="false" outlineLevel="0" collapsed="false">
      <c r="C29" s="11"/>
      <c r="I29" s="16"/>
      <c r="K29" s="11"/>
      <c r="N29" s="17" t="s">
        <v>29</v>
      </c>
      <c r="O29" s="18" t="n">
        <f aca="false">SUMIFS(BillsTbl_MonthlySpendingTemplate[Actual],BillsTbl_MonthlySpendingTemplate[Category],"Rent")+SUMIFS(TxnTbl_MonthlySpendingTemplate[Amount],TxnTbl_MonthlySpendingTemplate[Category],"Rent")</f>
        <v>0</v>
      </c>
    </row>
    <row r="30" customFormat="false" ht="15" hidden="false" customHeight="false" outlineLevel="0" collapsed="false">
      <c r="I30" s="16"/>
      <c r="K30" s="11"/>
      <c r="N30" s="17" t="s">
        <v>30</v>
      </c>
      <c r="O30" s="18" t="n">
        <f aca="false">SUMIFS(BillsTbl_MonthlySpendingTemplate[Actual],BillsTbl_MonthlySpendingTemplate[Category],"Shopping")+SUMIFS(TxnTbl_MonthlySpendingTemplate[Amount],TxnTbl_MonthlySpendingTemplate[Category],"Shopping")</f>
        <v>0</v>
      </c>
    </row>
    <row r="31" customFormat="false" ht="15" hidden="false" customHeight="false" outlineLevel="0" collapsed="false">
      <c r="I31" s="16"/>
      <c r="K31" s="11"/>
      <c r="N31" s="17" t="s">
        <v>31</v>
      </c>
      <c r="O31" s="18" t="n">
        <f aca="false">SUMIFS(BillsTbl_MonthlySpendingTemplate[Actual],BillsTbl_MonthlySpendingTemplate[Category],"Credit Card")+SUMIFS(TxnTbl_MonthlySpendingTemplate[Amount],TxnTbl_MonthlySpendingTemplate[Category],"Credit Card")</f>
        <v>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/>
      <c r="K32" s="11"/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0</v>
      </c>
      <c r="I33" s="16"/>
      <c r="K33" s="11"/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0</v>
      </c>
      <c r="I34" s="16"/>
      <c r="K34" s="11"/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0</v>
      </c>
      <c r="I35" s="16"/>
      <c r="K35" s="11"/>
    </row>
    <row r="36" customFormat="false" ht="15" hidden="false" customHeight="false" outlineLevel="0" collapsed="false">
      <c r="I36" s="16"/>
      <c r="K36" s="11"/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/>
      <c r="K37" s="11"/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/>
      <c r="K38" s="11"/>
    </row>
    <row r="39" customFormat="false" ht="15" hidden="false" customHeight="false" outlineLevel="0" collapsed="false">
      <c r="D39" s="11"/>
      <c r="F39" s="11" t="n">
        <f aca="false">IF(E39=TRUE(),D39,0)</f>
        <v>0</v>
      </c>
      <c r="I39" s="16"/>
      <c r="K39" s="11"/>
    </row>
    <row r="40" customFormat="false" ht="15" hidden="false" customHeight="false" outlineLevel="0" collapsed="false">
      <c r="D40" s="11"/>
      <c r="F40" s="11" t="n">
        <f aca="false">IF(E40=TRUE(),D40,0)</f>
        <v>0</v>
      </c>
      <c r="I40" s="16"/>
      <c r="K40" s="11"/>
    </row>
    <row r="41" customFormat="false" ht="15" hidden="false" customHeight="false" outlineLevel="0" collapsed="false">
      <c r="D41" s="11"/>
      <c r="F41" s="11" t="n">
        <f aca="false">IF(E41=TRUE(),D41,0)</f>
        <v>0</v>
      </c>
      <c r="I41" s="16"/>
      <c r="K41" s="11"/>
    </row>
    <row r="42" customFormat="false" ht="15" hidden="false" customHeight="false" outlineLevel="0" collapsed="false">
      <c r="D42" s="11"/>
      <c r="F42" s="11" t="n">
        <f aca="false">IF(E42=TRUE(),D42,0)</f>
        <v>0</v>
      </c>
      <c r="I42" s="16"/>
      <c r="K42" s="11"/>
    </row>
    <row r="43" customFormat="false" ht="15" hidden="false" customHeight="false" outlineLevel="0" collapsed="false">
      <c r="D43" s="11"/>
      <c r="F43" s="11" t="n">
        <f aca="false">IF(E43=TRUE(),D43,0)</f>
        <v>0</v>
      </c>
      <c r="I43" s="16"/>
      <c r="K43" s="11"/>
    </row>
    <row r="44" customFormat="false" ht="15" hidden="false" customHeight="false" outlineLevel="0" collapsed="false">
      <c r="D44" s="11"/>
      <c r="F44" s="11" t="n">
        <f aca="false">IF(E44=TRUE(),D44,0)</f>
        <v>0</v>
      </c>
      <c r="I44" s="16"/>
      <c r="K44" s="11"/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/>
      <c r="K45" s="11"/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/>
      <c r="K46" s="11"/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/>
      <c r="K47" s="11"/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/>
      <c r="K48" s="11"/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/>
      <c r="K49" s="11"/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/>
      <c r="K50" s="11"/>
    </row>
    <row r="51" customFormat="false" ht="15" hidden="false" customHeight="false" outlineLevel="0" collapsed="false">
      <c r="I51" s="16"/>
      <c r="K51" s="11"/>
    </row>
    <row r="52" customFormat="false" ht="15" hidden="false" customHeight="false" outlineLevel="0" collapsed="false">
      <c r="I52" s="16"/>
      <c r="K52" s="11"/>
    </row>
    <row r="53" customFormat="false" ht="15" hidden="false" customHeight="false" outlineLevel="0" collapsed="false">
      <c r="B53" s="13" t="s">
        <v>40</v>
      </c>
      <c r="C53" s="13"/>
      <c r="I53" s="16"/>
      <c r="K53" s="11"/>
    </row>
    <row r="54" customFormat="false" ht="15" hidden="false" customHeight="false" outlineLevel="0" collapsed="false">
      <c r="B54" s="14" t="s">
        <v>41</v>
      </c>
      <c r="C54" s="14" t="s">
        <v>19</v>
      </c>
      <c r="I54" s="16"/>
      <c r="K54" s="11"/>
    </row>
    <row r="55" customFormat="false" ht="15" hidden="false" customHeight="false" outlineLevel="0" collapsed="false">
      <c r="C55" s="11"/>
      <c r="I55" s="16"/>
      <c r="K55" s="11"/>
    </row>
    <row r="56" customFormat="false" ht="15" hidden="false" customHeight="false" outlineLevel="0" collapsed="false">
      <c r="C56" s="11"/>
      <c r="I56" s="16"/>
      <c r="K56" s="11"/>
    </row>
    <row r="57" customFormat="false" ht="15" hidden="false" customHeight="false" outlineLevel="0" collapsed="false">
      <c r="C57" s="11"/>
      <c r="I57" s="16"/>
      <c r="K57" s="11"/>
    </row>
    <row r="58" customFormat="false" ht="15" hidden="false" customHeight="false" outlineLevel="0" collapsed="false">
      <c r="C58" s="11"/>
      <c r="I58" s="16"/>
      <c r="K58" s="11"/>
    </row>
    <row r="59" customFormat="false" ht="15" hidden="false" customHeight="false" outlineLevel="0" collapsed="false">
      <c r="C59" s="11"/>
      <c r="I59" s="16"/>
      <c r="K59" s="11"/>
    </row>
    <row r="60" customFormat="false" ht="15" hidden="false" customHeight="false" outlineLevel="0" collapsed="false">
      <c r="I60" s="16"/>
      <c r="K60" s="11"/>
    </row>
    <row r="61" customFormat="false" ht="15" hidden="false" customHeight="false" outlineLevel="0" collapsed="false">
      <c r="I61" s="16"/>
      <c r="K61" s="11"/>
    </row>
    <row r="62" customFormat="false" ht="15" hidden="false" customHeight="false" outlineLevel="0" collapsed="false">
      <c r="I62" s="16"/>
      <c r="K62" s="11"/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R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11.22265625" defaultRowHeight="15" zeroHeight="false" outlineLevelRow="0" outlineLevelCol="0"/>
  <cols>
    <col collapsed="false" customWidth="true" hidden="false" outlineLevel="0" max="2" min="1" style="5" width="3"/>
    <col collapsed="false" customWidth="true" hidden="false" outlineLevel="0" max="7" min="3" style="5" width="14"/>
    <col collapsed="false" customWidth="true" hidden="false" outlineLevel="0" max="26" min="8" style="5" width="11"/>
  </cols>
  <sheetData>
    <row r="1" customFormat="false" ht="15.75" hidden="false" customHeight="true" outlineLevel="0" collapsed="false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  <c r="R1" s="22"/>
    </row>
    <row r="2" customFormat="false" ht="15.75" hidden="false" customHeight="true" outlineLevel="0" collapsed="false">
      <c r="A2" s="21"/>
      <c r="B2" s="21"/>
      <c r="C2" s="23" t="s">
        <v>42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customFormat="false" ht="15.75" hidden="false" customHeight="true" outlineLevel="0" collapsed="false">
      <c r="A3" s="21"/>
      <c r="B3" s="21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customFormat="false" ht="15.75" hidden="false" customHeight="true" outlineLevel="0" collapsed="false">
      <c r="A4" s="21"/>
      <c r="B4" s="21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customFormat="false" ht="15.75" hidden="false" customHeight="true" outlineLevel="0" collapsed="false">
      <c r="A5" s="21"/>
      <c r="B5" s="21"/>
      <c r="C5" s="24"/>
      <c r="D5" s="21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2"/>
      <c r="R5" s="22"/>
    </row>
    <row r="6" customFormat="false" ht="15.75" hidden="false" customHeight="true" outlineLevel="0" collapsed="false">
      <c r="A6" s="21"/>
      <c r="B6" s="21"/>
      <c r="C6" s="3" t="s">
        <v>43</v>
      </c>
      <c r="D6" s="3"/>
      <c r="E6" s="21"/>
      <c r="F6" s="3" t="s">
        <v>44</v>
      </c>
      <c r="G6" s="3"/>
      <c r="H6" s="21"/>
      <c r="I6" s="3" t="s">
        <v>45</v>
      </c>
      <c r="J6" s="3"/>
      <c r="K6" s="21"/>
      <c r="L6" s="3" t="s">
        <v>46</v>
      </c>
      <c r="M6" s="3"/>
      <c r="N6" s="21"/>
      <c r="O6" s="21"/>
      <c r="P6" s="21"/>
      <c r="Q6" s="22"/>
      <c r="R6" s="22"/>
    </row>
    <row r="7" customFormat="false" ht="15.75" hidden="false" customHeight="true" outlineLevel="0" collapsed="false">
      <c r="A7" s="21"/>
      <c r="B7" s="21"/>
      <c r="C7" s="25" t="n">
        <f aca="false">SUM(E11:P11)</f>
        <v>4851.81</v>
      </c>
      <c r="D7" s="25"/>
      <c r="E7" s="26"/>
      <c r="F7" s="25" t="n">
        <f aca="false">SUM(E15:P15)</f>
        <v>2306.9</v>
      </c>
      <c r="G7" s="25"/>
      <c r="H7" s="26"/>
      <c r="I7" s="27" t="n">
        <f aca="false">IFERROR(AVERAGE(E17:P17),0)</f>
        <v>0.0351421086167749</v>
      </c>
      <c r="J7" s="27"/>
      <c r="K7" s="26"/>
      <c r="L7" s="25" t="n">
        <f aca="false">SUM(E16:P16)</f>
        <v>2544.91</v>
      </c>
      <c r="M7" s="25"/>
      <c r="N7" s="26"/>
      <c r="O7" s="26"/>
      <c r="P7" s="26"/>
      <c r="Q7" s="22"/>
      <c r="R7" s="22"/>
    </row>
    <row r="8" customFormat="false" ht="15.75" hidden="false" customHeight="true" outlineLevel="0" collapsed="false">
      <c r="A8" s="21"/>
      <c r="B8" s="21"/>
      <c r="C8" s="28"/>
      <c r="D8" s="21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2"/>
      <c r="R8" s="22"/>
    </row>
    <row r="9" customFormat="false" ht="15.75" hidden="false" customHeight="true" outlineLevel="0" collapsed="false">
      <c r="A9" s="21"/>
      <c r="B9" s="21"/>
      <c r="C9" s="28"/>
      <c r="D9" s="2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  <c r="R9" s="22"/>
    </row>
    <row r="10" customFormat="false" ht="15.75" hidden="false" customHeight="true" outlineLevel="0" collapsed="false">
      <c r="A10" s="21"/>
      <c r="B10" s="21"/>
      <c r="C10" s="13" t="s">
        <v>47</v>
      </c>
      <c r="D10" s="13"/>
      <c r="E10" s="13" t="s">
        <v>48</v>
      </c>
      <c r="F10" s="13" t="s">
        <v>49</v>
      </c>
      <c r="G10" s="13" t="s">
        <v>50</v>
      </c>
      <c r="H10" s="13" t="s">
        <v>51</v>
      </c>
      <c r="I10" s="13" t="s">
        <v>52</v>
      </c>
      <c r="J10" s="13" t="s">
        <v>53</v>
      </c>
      <c r="K10" s="13" t="s">
        <v>54</v>
      </c>
      <c r="L10" s="13" t="s">
        <v>55</v>
      </c>
      <c r="M10" s="13" t="s">
        <v>56</v>
      </c>
      <c r="N10" s="13" t="s">
        <v>57</v>
      </c>
      <c r="O10" s="13" t="s">
        <v>58</v>
      </c>
      <c r="P10" s="13" t="s">
        <v>59</v>
      </c>
      <c r="Q10" s="22"/>
      <c r="R10" s="22"/>
    </row>
    <row r="11" customFormat="false" ht="15.75" hidden="false" customHeight="true" outlineLevel="0" collapsed="false">
      <c r="A11" s="21"/>
      <c r="B11" s="21"/>
      <c r="C11" s="29" t="s">
        <v>1</v>
      </c>
      <c r="D11" s="29"/>
      <c r="E11" s="30" t="n">
        <f aca="false">Jan!B6</f>
        <v>0</v>
      </c>
      <c r="F11" s="30" t="n">
        <f aca="false">Feb!B6</f>
        <v>0</v>
      </c>
      <c r="G11" s="30" t="n">
        <f aca="false">Mar!B6</f>
        <v>0</v>
      </c>
      <c r="H11" s="30" t="n">
        <f aca="false">Apr!B6</f>
        <v>0</v>
      </c>
      <c r="I11" s="30" t="n">
        <f aca="false">May!B6</f>
        <v>0</v>
      </c>
      <c r="J11" s="30" t="n">
        <f aca="false">Jun!B6</f>
        <v>0</v>
      </c>
      <c r="K11" s="30" t="n">
        <f aca="false">Jul!B6</f>
        <v>0</v>
      </c>
      <c r="L11" s="30" t="n">
        <f aca="false">Aug!B6</f>
        <v>2654.27</v>
      </c>
      <c r="M11" s="30" t="n">
        <f aca="false">Sep!B6</f>
        <v>2197.54</v>
      </c>
      <c r="N11" s="30" t="n">
        <f aca="false">Oct!B6</f>
        <v>0</v>
      </c>
      <c r="O11" s="30" t="n">
        <f aca="false">Nov!B6</f>
        <v>0</v>
      </c>
      <c r="P11" s="30" t="n">
        <f aca="false">Dec!B6</f>
        <v>0</v>
      </c>
      <c r="Q11" s="22"/>
      <c r="R11" s="22"/>
    </row>
    <row r="12" customFormat="false" ht="15.75" hidden="false" customHeight="true" outlineLevel="0" collapsed="false">
      <c r="A12" s="22"/>
      <c r="B12" s="22"/>
      <c r="C12" s="31" t="s">
        <v>9</v>
      </c>
      <c r="D12" s="31"/>
      <c r="E12" s="30" t="n">
        <f aca="false">Jan!R6</f>
        <v>0</v>
      </c>
      <c r="F12" s="30" t="n">
        <f aca="false">Feb!R6</f>
        <v>0</v>
      </c>
      <c r="G12" s="30" t="n">
        <f aca="false">Mar!R6</f>
        <v>0</v>
      </c>
      <c r="H12" s="30" t="n">
        <f aca="false">Apr!R6</f>
        <v>0</v>
      </c>
      <c r="I12" s="30" t="n">
        <f aca="false">May!R6</f>
        <v>0</v>
      </c>
      <c r="J12" s="30" t="n">
        <f aca="false">Jun!R6</f>
        <v>0</v>
      </c>
      <c r="K12" s="30" t="n">
        <f aca="false">Jul!R6</f>
        <v>0</v>
      </c>
      <c r="L12" s="30" t="n">
        <f aca="false">Aug!R6</f>
        <v>981.61</v>
      </c>
      <c r="M12" s="30" t="n">
        <f aca="false">Sep!R6</f>
        <v>232.24</v>
      </c>
      <c r="N12" s="30" t="n">
        <f aca="false">Oct!R6</f>
        <v>0</v>
      </c>
      <c r="O12" s="30" t="n">
        <f aca="false">Nov!R6</f>
        <v>0</v>
      </c>
      <c r="P12" s="30" t="n">
        <f aca="false">Dec!R6</f>
        <v>0</v>
      </c>
      <c r="Q12" s="22"/>
      <c r="R12" s="22"/>
    </row>
    <row r="13" customFormat="false" ht="15.75" hidden="false" customHeight="true" outlineLevel="0" collapsed="false">
      <c r="A13" s="22"/>
      <c r="B13" s="22"/>
      <c r="C13" s="31" t="s">
        <v>11</v>
      </c>
      <c r="D13" s="31"/>
      <c r="E13" s="30" t="n">
        <f aca="false">Jan!R7</f>
        <v>0</v>
      </c>
      <c r="F13" s="30" t="n">
        <f aca="false">Feb!R7</f>
        <v>0</v>
      </c>
      <c r="G13" s="30" t="n">
        <f aca="false">Mar!R7</f>
        <v>0</v>
      </c>
      <c r="H13" s="30" t="n">
        <f aca="false">Apr!R7</f>
        <v>0</v>
      </c>
      <c r="I13" s="30" t="n">
        <f aca="false">May!R7</f>
        <v>0</v>
      </c>
      <c r="J13" s="30" t="n">
        <f aca="false">Jun!R7</f>
        <v>0</v>
      </c>
      <c r="K13" s="30" t="n">
        <f aca="false">Jul!R7</f>
        <v>0</v>
      </c>
      <c r="L13" s="30" t="n">
        <f aca="false">Aug!R7</f>
        <v>955.66</v>
      </c>
      <c r="M13" s="30" t="n">
        <f aca="false">Sep!R7</f>
        <v>137.39</v>
      </c>
      <c r="N13" s="30" t="n">
        <f aca="false">Oct!R7</f>
        <v>0</v>
      </c>
      <c r="O13" s="30" t="n">
        <f aca="false">Nov!R7</f>
        <v>0</v>
      </c>
      <c r="P13" s="30" t="n">
        <f aca="false">Dec!R7</f>
        <v>0</v>
      </c>
      <c r="Q13" s="22"/>
      <c r="R13" s="22"/>
    </row>
    <row r="14" customFormat="false" ht="15.75" hidden="false" customHeight="true" outlineLevel="0" collapsed="false">
      <c r="A14" s="22"/>
      <c r="B14" s="22"/>
      <c r="C14" s="31" t="s">
        <v>13</v>
      </c>
      <c r="D14" s="31"/>
      <c r="E14" s="30" t="n">
        <f aca="false">Jan!R8</f>
        <v>0</v>
      </c>
      <c r="F14" s="30" t="n">
        <f aca="false">Feb!R8</f>
        <v>0</v>
      </c>
      <c r="G14" s="30" t="n">
        <f aca="false">Mar!R8</f>
        <v>0</v>
      </c>
      <c r="H14" s="30" t="n">
        <f aca="false">Apr!R8</f>
        <v>0</v>
      </c>
      <c r="I14" s="30" t="n">
        <f aca="false">May!R8</f>
        <v>0</v>
      </c>
      <c r="J14" s="30" t="n">
        <f aca="false">Jun!R8</f>
        <v>0</v>
      </c>
      <c r="K14" s="30" t="n">
        <f aca="false">Jul!R8</f>
        <v>0</v>
      </c>
      <c r="L14" s="30" t="n">
        <f aca="false">Aug!R8</f>
        <v>677.65</v>
      </c>
      <c r="M14" s="30" t="n">
        <f aca="false">Sep!R8</f>
        <v>365.67</v>
      </c>
      <c r="N14" s="30" t="n">
        <f aca="false">Oct!R8</f>
        <v>0</v>
      </c>
      <c r="O14" s="30" t="n">
        <f aca="false">Nov!R8</f>
        <v>0</v>
      </c>
      <c r="P14" s="30" t="n">
        <f aca="false">Dec!R8</f>
        <v>0</v>
      </c>
      <c r="Q14" s="22"/>
      <c r="R14" s="22"/>
    </row>
    <row r="15" customFormat="false" ht="15.75" hidden="false" customHeight="true" outlineLevel="0" collapsed="false">
      <c r="A15" s="22"/>
      <c r="B15" s="22"/>
      <c r="C15" s="31" t="s">
        <v>60</v>
      </c>
      <c r="D15" s="31"/>
      <c r="E15" s="30" t="n">
        <f aca="false">Jan!R9</f>
        <v>0</v>
      </c>
      <c r="F15" s="30" t="n">
        <f aca="false">Feb!R9</f>
        <v>0</v>
      </c>
      <c r="G15" s="30" t="n">
        <f aca="false">Mar!R9</f>
        <v>0</v>
      </c>
      <c r="H15" s="30" t="n">
        <f aca="false">Apr!R9</f>
        <v>0</v>
      </c>
      <c r="I15" s="30" t="n">
        <f aca="false">May!R9</f>
        <v>0</v>
      </c>
      <c r="J15" s="30" t="n">
        <f aca="false">Jun!R9</f>
        <v>0</v>
      </c>
      <c r="K15" s="30" t="n">
        <f aca="false">Jul!R9</f>
        <v>0</v>
      </c>
      <c r="L15" s="30" t="n">
        <f aca="false">Aug!R9</f>
        <v>1937.27</v>
      </c>
      <c r="M15" s="30" t="n">
        <f aca="false">Sep!R9</f>
        <v>369.63</v>
      </c>
      <c r="N15" s="30" t="n">
        <f aca="false">Oct!R9</f>
        <v>0</v>
      </c>
      <c r="O15" s="30" t="n">
        <f aca="false">Nov!R9</f>
        <v>0</v>
      </c>
      <c r="P15" s="30" t="n">
        <f aca="false">Dec!R9</f>
        <v>0</v>
      </c>
      <c r="Q15" s="22"/>
      <c r="R15" s="22"/>
    </row>
    <row r="16" customFormat="false" ht="15.75" hidden="false" customHeight="true" outlineLevel="0" collapsed="false">
      <c r="A16" s="22"/>
      <c r="B16" s="22"/>
      <c r="C16" s="31" t="s">
        <v>61</v>
      </c>
      <c r="D16" s="31"/>
      <c r="E16" s="30" t="n">
        <f aca="false">Jan!F6</f>
        <v>0</v>
      </c>
      <c r="F16" s="30" t="n">
        <f aca="false">Feb!F6</f>
        <v>0</v>
      </c>
      <c r="G16" s="30" t="n">
        <f aca="false">Mar!F6</f>
        <v>0</v>
      </c>
      <c r="H16" s="30" t="n">
        <f aca="false">Apr!F6</f>
        <v>0</v>
      </c>
      <c r="I16" s="30" t="n">
        <f aca="false">May!F6</f>
        <v>0</v>
      </c>
      <c r="J16" s="30" t="n">
        <f aca="false">Jun!F6</f>
        <v>0</v>
      </c>
      <c r="K16" s="30" t="n">
        <f aca="false">Jul!F6</f>
        <v>0</v>
      </c>
      <c r="L16" s="30" t="n">
        <f aca="false">Aug!F6</f>
        <v>717</v>
      </c>
      <c r="M16" s="30" t="n">
        <f aca="false">Sep!F6</f>
        <v>1827.91</v>
      </c>
      <c r="N16" s="30" t="n">
        <f aca="false">Oct!F6</f>
        <v>0</v>
      </c>
      <c r="O16" s="30" t="n">
        <f aca="false">Nov!F6</f>
        <v>0</v>
      </c>
      <c r="P16" s="30" t="n">
        <f aca="false">Dec!F6</f>
        <v>0</v>
      </c>
      <c r="Q16" s="22"/>
      <c r="R16" s="22"/>
    </row>
    <row r="17" customFormat="false" ht="15.75" hidden="false" customHeight="true" outlineLevel="0" collapsed="false">
      <c r="A17" s="22"/>
      <c r="B17" s="22"/>
      <c r="C17" s="31" t="s">
        <v>62</v>
      </c>
      <c r="D17" s="31"/>
      <c r="E17" s="32" t="n">
        <f aca="false">Jan!H6</f>
        <v>0</v>
      </c>
      <c r="F17" s="32" t="n">
        <f aca="false">Feb!H6</f>
        <v>0</v>
      </c>
      <c r="G17" s="32" t="n">
        <f aca="false">Mar!H6</f>
        <v>0</v>
      </c>
      <c r="H17" s="32" t="n">
        <f aca="false">Apr!H6</f>
        <v>0</v>
      </c>
      <c r="I17" s="32" t="n">
        <f aca="false">May!H6</f>
        <v>0</v>
      </c>
      <c r="J17" s="32" t="n">
        <f aca="false">Jun!H6</f>
        <v>0</v>
      </c>
      <c r="K17" s="32" t="n">
        <f aca="false">Jul!H6</f>
        <v>0</v>
      </c>
      <c r="L17" s="32" t="n">
        <f aca="false">Aug!H6</f>
        <v>0.255305601916911</v>
      </c>
      <c r="M17" s="32" t="n">
        <f aca="false">Sep!H6</f>
        <v>0.166399701484387</v>
      </c>
      <c r="N17" s="32" t="n">
        <f aca="false">Oct!H6</f>
        <v>0</v>
      </c>
      <c r="O17" s="32" t="n">
        <f aca="false">Nov!H6</f>
        <v>0</v>
      </c>
      <c r="P17" s="32" t="n">
        <f aca="false">Dec!H6</f>
        <v>0</v>
      </c>
      <c r="Q17" s="22"/>
      <c r="R17" s="22"/>
    </row>
    <row r="18" customFormat="false" ht="15.7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customFormat="false" ht="15.7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customFormat="false" ht="15.75" hidden="false" customHeight="true" outlineLevel="0" collapsed="false">
      <c r="A20" s="22"/>
      <c r="B20" s="22"/>
      <c r="C20" s="13" t="s">
        <v>63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.75" hidden="false" customHeight="true" outlineLevel="0" collapsed="false">
      <c r="A21" s="22"/>
      <c r="B21" s="22"/>
      <c r="C21" s="3" t="s">
        <v>21</v>
      </c>
      <c r="D21" s="3"/>
      <c r="E21" s="3" t="s">
        <v>48</v>
      </c>
      <c r="F21" s="3" t="s">
        <v>49</v>
      </c>
      <c r="G21" s="3" t="s">
        <v>50</v>
      </c>
      <c r="H21" s="3" t="s">
        <v>51</v>
      </c>
      <c r="I21" s="3" t="s">
        <v>52</v>
      </c>
      <c r="J21" s="3" t="s">
        <v>53</v>
      </c>
      <c r="K21" s="3" t="s">
        <v>54</v>
      </c>
      <c r="L21" s="3" t="s">
        <v>55</v>
      </c>
      <c r="M21" s="3" t="s">
        <v>56</v>
      </c>
      <c r="N21" s="3" t="s">
        <v>57</v>
      </c>
      <c r="O21" s="3" t="s">
        <v>58</v>
      </c>
      <c r="P21" s="3" t="s">
        <v>59</v>
      </c>
      <c r="Q21" s="3" t="s">
        <v>64</v>
      </c>
      <c r="R21" s="3" t="s">
        <v>65</v>
      </c>
    </row>
    <row r="22" customFormat="false" ht="15.75" hidden="false" customHeight="true" outlineLevel="0" collapsed="false">
      <c r="A22" s="22"/>
      <c r="B22" s="22"/>
      <c r="C22" s="33" t="s">
        <v>24</v>
      </c>
      <c r="D22" s="33"/>
      <c r="E22" s="34" t="n">
        <f aca="false">Jan!O24</f>
        <v>0</v>
      </c>
      <c r="F22" s="34" t="n">
        <f aca="false">Feb!O24</f>
        <v>0</v>
      </c>
      <c r="G22" s="34" t="n">
        <f aca="false">Mar!O24</f>
        <v>0</v>
      </c>
      <c r="H22" s="34" t="n">
        <f aca="false">Apr!O24</f>
        <v>0</v>
      </c>
      <c r="I22" s="34" t="n">
        <f aca="false">May!O24</f>
        <v>0</v>
      </c>
      <c r="J22" s="34" t="n">
        <f aca="false">Jun!O24</f>
        <v>0</v>
      </c>
      <c r="K22" s="34" t="n">
        <f aca="false">Jul!O24</f>
        <v>0</v>
      </c>
      <c r="L22" s="34" t="n">
        <f aca="false">Aug!O24</f>
        <v>57.31</v>
      </c>
      <c r="M22" s="34" t="n">
        <f aca="false">Sep!O24</f>
        <v>6.48</v>
      </c>
      <c r="N22" s="34" t="n">
        <f aca="false">Oct!O24</f>
        <v>0</v>
      </c>
      <c r="O22" s="34" t="n">
        <f aca="false">Nov!O24</f>
        <v>0</v>
      </c>
      <c r="P22" s="34" t="n">
        <f aca="false">Dec!O24</f>
        <v>0</v>
      </c>
      <c r="Q22" s="35" t="n">
        <f aca="false">IFERROR(AVERAGEIF(E22:P22,"&lt;&gt;0"),0)</f>
        <v>31.895</v>
      </c>
      <c r="R22" s="36" t="n">
        <f aca="false">SUM(E22:P22)</f>
        <v>63.79</v>
      </c>
    </row>
    <row r="23" customFormat="false" ht="15.75" hidden="false" customHeight="true" outlineLevel="0" collapsed="false">
      <c r="A23" s="22"/>
      <c r="B23" s="22"/>
      <c r="C23" s="33" t="s">
        <v>25</v>
      </c>
      <c r="D23" s="33"/>
      <c r="E23" s="34" t="n">
        <f aca="false">Jan!O25</f>
        <v>0</v>
      </c>
      <c r="F23" s="34" t="n">
        <f aca="false">Feb!O25</f>
        <v>0</v>
      </c>
      <c r="G23" s="34" t="n">
        <f aca="false">Mar!O25</f>
        <v>0</v>
      </c>
      <c r="H23" s="34" t="n">
        <f aca="false">Apr!O25</f>
        <v>0</v>
      </c>
      <c r="I23" s="34" t="n">
        <f aca="false">May!O25</f>
        <v>0</v>
      </c>
      <c r="J23" s="34" t="n">
        <f aca="false">Jun!O25</f>
        <v>0</v>
      </c>
      <c r="K23" s="34" t="n">
        <f aca="false">Jul!O25</f>
        <v>0</v>
      </c>
      <c r="L23" s="34" t="n">
        <f aca="false">Aug!O25</f>
        <v>61.61</v>
      </c>
      <c r="M23" s="34" t="n">
        <f aca="false">Sep!O25</f>
        <v>32.24</v>
      </c>
      <c r="N23" s="34" t="n">
        <f aca="false">Oct!O25</f>
        <v>0</v>
      </c>
      <c r="O23" s="34" t="n">
        <f aca="false">Nov!O25</f>
        <v>0</v>
      </c>
      <c r="P23" s="34" t="n">
        <f aca="false">Dec!O25</f>
        <v>0</v>
      </c>
      <c r="Q23" s="35" t="n">
        <f aca="false">IFERROR(AVERAGEIF(E23:P23,"&lt;&gt;0"),0)</f>
        <v>46.925</v>
      </c>
      <c r="R23" s="36" t="n">
        <f aca="false">SUM(E23:P23)</f>
        <v>93.85</v>
      </c>
    </row>
    <row r="24" customFormat="false" ht="15.75" hidden="false" customHeight="true" outlineLevel="0" collapsed="false">
      <c r="A24" s="22"/>
      <c r="B24" s="22"/>
      <c r="C24" s="33" t="s">
        <v>26</v>
      </c>
      <c r="D24" s="33"/>
      <c r="E24" s="34" t="n">
        <f aca="false">Jan!O26</f>
        <v>0</v>
      </c>
      <c r="F24" s="34" t="n">
        <f aca="false">Feb!O26</f>
        <v>0</v>
      </c>
      <c r="G24" s="34" t="n">
        <f aca="false">Mar!O26</f>
        <v>0</v>
      </c>
      <c r="H24" s="34" t="n">
        <f aca="false">Apr!O26</f>
        <v>0</v>
      </c>
      <c r="I24" s="34" t="n">
        <f aca="false">May!O26</f>
        <v>0</v>
      </c>
      <c r="J24" s="34" t="n">
        <f aca="false">Jun!O26</f>
        <v>0</v>
      </c>
      <c r="K24" s="34" t="n">
        <f aca="false">Jul!O26</f>
        <v>0</v>
      </c>
      <c r="L24" s="34" t="n">
        <f aca="false">Aug!O26</f>
        <v>482.41</v>
      </c>
      <c r="M24" s="34" t="n">
        <f aca="false">Sep!O26</f>
        <v>55.04</v>
      </c>
      <c r="N24" s="34" t="n">
        <f aca="false">Oct!O26</f>
        <v>0</v>
      </c>
      <c r="O24" s="34" t="n">
        <f aca="false">Nov!O26</f>
        <v>0</v>
      </c>
      <c r="P24" s="34" t="n">
        <f aca="false">Dec!O26</f>
        <v>0</v>
      </c>
      <c r="Q24" s="35" t="n">
        <f aca="false">IFERROR(AVERAGEIF(E24:P24,"&lt;&gt;0"),0)</f>
        <v>268.725</v>
      </c>
      <c r="R24" s="36" t="n">
        <f aca="false">SUM(E24:P24)</f>
        <v>537.45</v>
      </c>
    </row>
    <row r="25" customFormat="false" ht="15.75" hidden="false" customHeight="true" outlineLevel="0" collapsed="false">
      <c r="A25" s="22"/>
      <c r="B25" s="22"/>
      <c r="C25" s="33" t="s">
        <v>27</v>
      </c>
      <c r="D25" s="33"/>
      <c r="E25" s="34" t="n">
        <f aca="false">Jan!O27</f>
        <v>0</v>
      </c>
      <c r="F25" s="34" t="n">
        <f aca="false">Feb!O27</f>
        <v>0</v>
      </c>
      <c r="G25" s="34" t="n">
        <f aca="false">Mar!O27</f>
        <v>0</v>
      </c>
      <c r="H25" s="34" t="n">
        <f aca="false">Apr!O27</f>
        <v>0</v>
      </c>
      <c r="I25" s="34" t="n">
        <f aca="false">May!O27</f>
        <v>0</v>
      </c>
      <c r="J25" s="34" t="n">
        <f aca="false">Jun!O27</f>
        <v>0</v>
      </c>
      <c r="K25" s="34" t="n">
        <f aca="false">Jul!O27</f>
        <v>0</v>
      </c>
      <c r="L25" s="34" t="n">
        <f aca="false">Aug!O27</f>
        <v>70</v>
      </c>
      <c r="M25" s="34" t="n">
        <f aca="false">Sep!O27</f>
        <v>0</v>
      </c>
      <c r="N25" s="34" t="n">
        <f aca="false">Oct!O27</f>
        <v>0</v>
      </c>
      <c r="O25" s="34" t="n">
        <f aca="false">Nov!O27</f>
        <v>0</v>
      </c>
      <c r="P25" s="34" t="n">
        <f aca="false">Dec!O27</f>
        <v>0</v>
      </c>
      <c r="Q25" s="35" t="n">
        <f aca="false">IFERROR(AVERAGEIF(E25:P25,"&lt;&gt;0"),0)</f>
        <v>70</v>
      </c>
      <c r="R25" s="36" t="n">
        <f aca="false">SUM(E25:P25)</f>
        <v>70</v>
      </c>
    </row>
    <row r="26" customFormat="false" ht="15.75" hidden="false" customHeight="true" outlineLevel="0" collapsed="false">
      <c r="A26" s="22"/>
      <c r="B26" s="22"/>
      <c r="C26" s="33" t="s">
        <v>28</v>
      </c>
      <c r="D26" s="33"/>
      <c r="E26" s="34" t="n">
        <f aca="false">Jan!O28</f>
        <v>0</v>
      </c>
      <c r="F26" s="34" t="n">
        <f aca="false">Feb!O28</f>
        <v>0</v>
      </c>
      <c r="G26" s="34" t="n">
        <f aca="false">Mar!O28</f>
        <v>0</v>
      </c>
      <c r="H26" s="34" t="n">
        <f aca="false">Apr!O28</f>
        <v>0</v>
      </c>
      <c r="I26" s="34" t="n">
        <f aca="false">May!O28</f>
        <v>0</v>
      </c>
      <c r="J26" s="34" t="n">
        <f aca="false">Jun!O28</f>
        <v>0</v>
      </c>
      <c r="K26" s="34" t="n">
        <f aca="false">Jul!O28</f>
        <v>0</v>
      </c>
      <c r="L26" s="34" t="n">
        <f aca="false">Aug!O28</f>
        <v>168.91</v>
      </c>
      <c r="M26" s="34" t="n">
        <f aca="false">Sep!O28</f>
        <v>51.54</v>
      </c>
      <c r="N26" s="34" t="n">
        <f aca="false">Oct!O28</f>
        <v>0</v>
      </c>
      <c r="O26" s="34" t="n">
        <f aca="false">Nov!O28</f>
        <v>0</v>
      </c>
      <c r="P26" s="34" t="n">
        <f aca="false">Dec!O28</f>
        <v>0</v>
      </c>
      <c r="Q26" s="35" t="n">
        <f aca="false">IFERROR(AVERAGEIF(E26:P26,"&lt;&gt;0"),0)</f>
        <v>110.225</v>
      </c>
      <c r="R26" s="36" t="n">
        <f aca="false">SUM(E26:P26)</f>
        <v>220.45</v>
      </c>
    </row>
    <row r="27" customFormat="false" ht="15.75" hidden="false" customHeight="true" outlineLevel="0" collapsed="false">
      <c r="A27" s="22"/>
      <c r="B27" s="22"/>
      <c r="C27" s="33" t="s">
        <v>29</v>
      </c>
      <c r="D27" s="33"/>
      <c r="E27" s="34" t="n">
        <f aca="false">Jan!O29</f>
        <v>0</v>
      </c>
      <c r="F27" s="34" t="n">
        <f aca="false">Feb!O29</f>
        <v>0</v>
      </c>
      <c r="G27" s="34" t="n">
        <f aca="false">Mar!O29</f>
        <v>0</v>
      </c>
      <c r="H27" s="34" t="n">
        <f aca="false">Apr!O29</f>
        <v>0</v>
      </c>
      <c r="I27" s="34" t="n">
        <f aca="false">May!O29</f>
        <v>0</v>
      </c>
      <c r="J27" s="34" t="n">
        <f aca="false">Jun!O29</f>
        <v>0</v>
      </c>
      <c r="K27" s="34" t="n">
        <f aca="false">Jul!O29</f>
        <v>0</v>
      </c>
      <c r="L27" s="34" t="n">
        <f aca="false">Aug!O29</f>
        <v>650</v>
      </c>
      <c r="M27" s="34" t="n">
        <f aca="false">Sep!O29</f>
        <v>0</v>
      </c>
      <c r="N27" s="34" t="n">
        <f aca="false">Oct!O29</f>
        <v>0</v>
      </c>
      <c r="O27" s="34" t="n">
        <f aca="false">Nov!O29</f>
        <v>0</v>
      </c>
      <c r="P27" s="34" t="n">
        <f aca="false">Dec!O29</f>
        <v>0</v>
      </c>
      <c r="Q27" s="35" t="n">
        <f aca="false">IFERROR(AVERAGEIF(E27:P27,"&lt;&gt;0"),0)</f>
        <v>650</v>
      </c>
      <c r="R27" s="36" t="n">
        <f aca="false">SUM(E27:P27)</f>
        <v>650</v>
      </c>
    </row>
    <row r="28" customFormat="false" ht="15.75" hidden="false" customHeight="true" outlineLevel="0" collapsed="false">
      <c r="A28" s="22"/>
      <c r="B28" s="22"/>
      <c r="C28" s="33" t="s">
        <v>30</v>
      </c>
      <c r="D28" s="33"/>
      <c r="E28" s="34" t="n">
        <f aca="false">Jan!O30</f>
        <v>0</v>
      </c>
      <c r="F28" s="34" t="n">
        <f aca="false">Feb!O30</f>
        <v>0</v>
      </c>
      <c r="G28" s="34" t="n">
        <f aca="false">Mar!O30</f>
        <v>0</v>
      </c>
      <c r="H28" s="34" t="n">
        <f aca="false">Apr!O30</f>
        <v>0</v>
      </c>
      <c r="I28" s="34" t="n">
        <f aca="false">May!O30</f>
        <v>0</v>
      </c>
      <c r="J28" s="34" t="n">
        <f aca="false">Jun!O30</f>
        <v>0</v>
      </c>
      <c r="K28" s="34" t="n">
        <f aca="false">Jul!O30</f>
        <v>0</v>
      </c>
      <c r="L28" s="34" t="n">
        <f aca="false">Aug!O30</f>
        <v>247.03</v>
      </c>
      <c r="M28" s="34" t="n">
        <f aca="false">Sep!O30</f>
        <v>24.33</v>
      </c>
      <c r="N28" s="34" t="n">
        <f aca="false">Oct!O30</f>
        <v>0</v>
      </c>
      <c r="O28" s="34" t="n">
        <f aca="false">Nov!O30</f>
        <v>0</v>
      </c>
      <c r="P28" s="34" t="n">
        <f aca="false">Dec!O30</f>
        <v>0</v>
      </c>
      <c r="Q28" s="35" t="n">
        <f aca="false">IFERROR(AVERAGEIF(E28:P28,"&lt;&gt;0"),0)</f>
        <v>135.68</v>
      </c>
      <c r="R28" s="36" t="n">
        <f aca="false">SUM(E28:P28)</f>
        <v>271.36</v>
      </c>
    </row>
    <row r="29" customFormat="false" ht="15.75" hidden="false" customHeight="true" outlineLevel="0" collapsed="false">
      <c r="C29" s="37" t="s">
        <v>31</v>
      </c>
      <c r="D29" s="37"/>
      <c r="E29" s="34" t="n">
        <f aca="false">Jan!O31</f>
        <v>0</v>
      </c>
      <c r="F29" s="34" t="n">
        <f aca="false">Feb!O31</f>
        <v>0</v>
      </c>
      <c r="G29" s="34" t="n">
        <f aca="false">Mar!O31</f>
        <v>0</v>
      </c>
      <c r="H29" s="34" t="n">
        <f aca="false">Apr!O31</f>
        <v>0</v>
      </c>
      <c r="I29" s="34" t="n">
        <f aca="false">May!O31</f>
        <v>0</v>
      </c>
      <c r="J29" s="34" t="n">
        <f aca="false">Jun!O31</f>
        <v>0</v>
      </c>
      <c r="K29" s="34" t="n">
        <f aca="false">Jul!O31</f>
        <v>0</v>
      </c>
      <c r="L29" s="34" t="n">
        <f aca="false">Aug!O31</f>
        <v>200</v>
      </c>
      <c r="M29" s="34" t="n">
        <f aca="false">Sep!O31</f>
        <v>200</v>
      </c>
      <c r="N29" s="34" t="n">
        <f aca="false">Oct!O31</f>
        <v>0</v>
      </c>
      <c r="O29" s="34" t="n">
        <f aca="false">Nov!O31</f>
        <v>0</v>
      </c>
      <c r="P29" s="34" t="n">
        <f aca="false">Dec!O31</f>
        <v>0</v>
      </c>
      <c r="Q29" s="38" t="n">
        <f aca="false">IFERROR(AVERAGEIF(E29:P29,"&lt;&gt;0"),0)</f>
        <v>200</v>
      </c>
      <c r="R29" s="39" t="n">
        <f aca="false">SUM(E29:P29)</f>
        <v>400</v>
      </c>
    </row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7">
    <mergeCell ref="C2:R4"/>
    <mergeCell ref="C6:D6"/>
    <mergeCell ref="F6:G6"/>
    <mergeCell ref="I6:J6"/>
    <mergeCell ref="L6:M6"/>
    <mergeCell ref="C7:D7"/>
    <mergeCell ref="F7:G7"/>
    <mergeCell ref="I7:J7"/>
    <mergeCell ref="L7:M7"/>
    <mergeCell ref="C10:D10"/>
    <mergeCell ref="C11:D11"/>
    <mergeCell ref="C12:D12"/>
    <mergeCell ref="C13:D13"/>
    <mergeCell ref="C14:D14"/>
    <mergeCell ref="C15:D15"/>
    <mergeCell ref="C16:D16"/>
    <mergeCell ref="C17:D17"/>
    <mergeCell ref="C20:R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conditionalFormatting sqref="E8:P8">
    <cfRule type="cellIs" priority="2" operator="lessThan" aboveAverage="0" equalAverage="0" bottom="0" percent="0" rank="0" text="" dxfId="2">
      <formula>0</formula>
    </cfRule>
    <cfRule type="cellIs" priority="3" operator="greaterThan" aboveAverage="0" equalAverage="0" bottom="0" percent="0" rank="0" text="" dxfId="3">
      <formula>0</formula>
    </cfRule>
  </conditionalFormatting>
  <conditionalFormatting sqref="E16:P16">
    <cfRule type="cellIs" priority="4" operator="lessThan" aboveAverage="0" equalAverage="0" bottom="0" percent="0" rank="0" text="" dxfId="4">
      <formula>0</formula>
    </cfRule>
    <cfRule type="cellIs" priority="5" operator="greaterThanOrEqual" aboveAverage="0" equalAverage="0" bottom="0" percent="0" rank="0" text="" dxfId="5">
      <formula>0</formula>
    </cfRule>
    <cfRule type="cellIs" priority="6" operator="lessThan" aboveAverage="0" equalAverage="0" bottom="0" percent="0" rank="0" text="" dxfId="6">
      <formula>0</formula>
    </cfRule>
    <cfRule type="cellIs" priority="7" operator="greaterThanOrEqual" aboveAverage="0" equalAverage="0" bottom="0" percent="0" rank="0" text="" dxfId="7">
      <formula>0</formula>
    </cfRule>
  </conditionalFormatting>
  <conditionalFormatting sqref="E22:P28">
    <cfRule type="colorScale" priority="8">
      <colorScale>
        <cfvo type="min" val="0"/>
        <cfvo type="max" val="0"/>
        <color rgb="FFFFFFFF"/>
        <color rgb="FFE06666"/>
      </colorScale>
    </cfRule>
  </conditionalFormatting>
  <conditionalFormatting sqref="E22:P29">
    <cfRule type="colorScale" priority="9">
      <colorScale>
        <cfvo type="min" val="0"/>
        <cfvo type="max" val="0"/>
        <color rgb="FFFFFFFF"/>
        <color rgb="FFE06666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66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SUM(IncomeTbl_Jan[Amount])</f>
        <v>0</v>
      </c>
      <c r="C6" s="6"/>
      <c r="D6" s="6" t="n">
        <f aca="false">R6+R7</f>
        <v>0</v>
      </c>
      <c r="E6" s="6"/>
      <c r="F6" s="6" t="n">
        <f aca="false">B6-D6</f>
        <v>0</v>
      </c>
      <c r="G6" s="6"/>
      <c r="H6" s="7" t="n">
        <f aca="false">IFERROR(R8/B6,0)</f>
        <v>0</v>
      </c>
      <c r="I6" s="7"/>
      <c r="J6" s="8" t="str">
        <f aca="false">COUNTIF(BillsTbl_Jan[Paid?],TRUE())&amp;" / "&amp;COUNTA(BillsTbl_Jan[Bill Name])</f>
        <v>0 / 0</v>
      </c>
      <c r="K6" s="8"/>
      <c r="Q6" s="9" t="s">
        <v>9</v>
      </c>
      <c r="R6" s="10" t="n">
        <f aca="false">O31+O27+O25+O29</f>
        <v>0</v>
      </c>
      <c r="T6" s="5" t="s">
        <v>10</v>
      </c>
      <c r="U6" s="11" t="n">
        <f aca="false">C33</f>
        <v>0</v>
      </c>
      <c r="V6" s="11" t="n">
        <f aca="false">R6</f>
        <v>0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0</v>
      </c>
      <c r="T7" s="5" t="s">
        <v>12</v>
      </c>
      <c r="U7" s="11" t="n">
        <f aca="false">C34</f>
        <v>0</v>
      </c>
      <c r="V7" s="11" t="n">
        <f aca="false">R7</f>
        <v>0</v>
      </c>
    </row>
    <row r="8" customFormat="false" ht="15" hidden="false" customHeight="false" outlineLevel="0" collapsed="false">
      <c r="Q8" s="9" t="s">
        <v>13</v>
      </c>
      <c r="R8" s="10" t="n">
        <f aca="false">SUM(SavingsTbl_Jan[Amount])</f>
        <v>0</v>
      </c>
      <c r="T8" s="5" t="s">
        <v>14</v>
      </c>
      <c r="U8" s="11" t="n">
        <f aca="false">C35</f>
        <v>0</v>
      </c>
      <c r="V8" s="11" t="n">
        <f aca="false">R8</f>
        <v>0</v>
      </c>
    </row>
    <row r="9" customFormat="false" ht="15" hidden="false" customHeight="false" outlineLevel="0" collapsed="false">
      <c r="Q9" s="9" t="s">
        <v>2</v>
      </c>
      <c r="R9" s="12" t="n">
        <f aca="false">R6+R7</f>
        <v>0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C24" s="11"/>
      <c r="I24" s="16"/>
      <c r="K24" s="11"/>
      <c r="N24" s="17" t="s">
        <v>24</v>
      </c>
      <c r="O24" s="18" t="n">
        <f aca="false">SUMIFS(BillsTbl_Jan[Actual],BillsTbl_Jan[Category],"Subscriptions")+SUMIFS(TxnTbl_Jan[Amount],TxnTbl_Jan[Category],"Subscriptions")</f>
        <v>0</v>
      </c>
    </row>
    <row r="25" customFormat="false" ht="15" hidden="false" customHeight="false" outlineLevel="0" collapsed="false">
      <c r="C25" s="11"/>
      <c r="I25" s="16"/>
      <c r="K25" s="11"/>
      <c r="N25" s="17" t="s">
        <v>25</v>
      </c>
      <c r="O25" s="18" t="n">
        <f aca="false">SUMIFS(BillsTbl_Jan[Actual],BillsTbl_Jan[Category],"Gas")+SUMIFS(TxnTbl_Jan[Amount],TxnTbl_Jan[Category],"Gas")</f>
        <v>0</v>
      </c>
    </row>
    <row r="26" customFormat="false" ht="15" hidden="false" customHeight="false" outlineLevel="0" collapsed="false">
      <c r="C26" s="11"/>
      <c r="I26" s="16"/>
      <c r="K26" s="11"/>
      <c r="N26" s="17" t="s">
        <v>26</v>
      </c>
      <c r="O26" s="18" t="n">
        <f aca="false">SUMIFS(BillsTbl_Jan[Actual],BillsTbl_Jan[Category],"Other")+SUMIFS(TxnTbl_Jan[Amount],TxnTbl_Jan[Category],"Other")</f>
        <v>0</v>
      </c>
    </row>
    <row r="27" customFormat="false" ht="15" hidden="false" customHeight="false" outlineLevel="0" collapsed="false">
      <c r="C27" s="11"/>
      <c r="I27" s="16"/>
      <c r="K27" s="11"/>
      <c r="N27" s="17" t="s">
        <v>27</v>
      </c>
      <c r="O27" s="18" t="n">
        <f aca="false">SUMIFS(BillsTbl_Jan[Actual],BillsTbl_Jan[Category],"Groceries")+SUMIFS(TxnTbl_Jan[Amount],TxnTbl_Jan[Category],"Groceries")</f>
        <v>0</v>
      </c>
    </row>
    <row r="28" customFormat="false" ht="15" hidden="false" customHeight="false" outlineLevel="0" collapsed="false">
      <c r="C28" s="11"/>
      <c r="I28" s="16"/>
      <c r="K28" s="11"/>
      <c r="N28" s="17" t="s">
        <v>28</v>
      </c>
      <c r="O28" s="18" t="n">
        <f aca="false">SUMIFS(BillsTbl_Jan[Actual],BillsTbl_Jan[Category],"Dining out")+SUMIFS(TxnTbl_Jan[Amount],TxnTbl_Jan[Category],"Dining out")</f>
        <v>0</v>
      </c>
    </row>
    <row r="29" customFormat="false" ht="15" hidden="false" customHeight="false" outlineLevel="0" collapsed="false">
      <c r="C29" s="11"/>
      <c r="I29" s="16"/>
      <c r="K29" s="11"/>
      <c r="N29" s="17" t="s">
        <v>29</v>
      </c>
      <c r="O29" s="18" t="n">
        <f aca="false">SUMIFS(BillsTbl_Jan[Actual],BillsTbl_Jan[Category],"Rent")+SUMIFS(TxnTbl_Jan[Amount],TxnTbl_Jan[Category],"Rent")</f>
        <v>0</v>
      </c>
    </row>
    <row r="30" customFormat="false" ht="15" hidden="false" customHeight="false" outlineLevel="0" collapsed="false">
      <c r="I30" s="16"/>
      <c r="K30" s="11"/>
      <c r="N30" s="17" t="s">
        <v>30</v>
      </c>
      <c r="O30" s="18" t="n">
        <f aca="false">SUMIFS(BillsTbl_Jan[Actual],BillsTbl_Jan[Category],"Shopping")+SUMIFS(TxnTbl_Jan[Amount],TxnTbl_Jan[Category],"Shopping")</f>
        <v>0</v>
      </c>
    </row>
    <row r="31" customFormat="false" ht="15" hidden="false" customHeight="false" outlineLevel="0" collapsed="false">
      <c r="I31" s="16"/>
      <c r="K31" s="11"/>
      <c r="N31" s="17" t="s">
        <v>31</v>
      </c>
      <c r="O31" s="18" t="n">
        <f aca="false">SUMIFS(BillsTbl_Jan[Actual],BillsTbl_Jan[Category],"Credit Card")+SUMIFS(TxnTbl_Jan[Amount],TxnTbl_Jan[Category],"Credit Card")</f>
        <v>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/>
      <c r="K32" s="11"/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0</v>
      </c>
      <c r="I33" s="16"/>
      <c r="K33" s="11"/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0</v>
      </c>
      <c r="I34" s="16"/>
      <c r="K34" s="11"/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0</v>
      </c>
      <c r="I35" s="16"/>
      <c r="K35" s="11"/>
    </row>
    <row r="36" customFormat="false" ht="15" hidden="false" customHeight="false" outlineLevel="0" collapsed="false">
      <c r="I36" s="16"/>
      <c r="K36" s="11"/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/>
      <c r="K37" s="11"/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/>
      <c r="K38" s="11"/>
    </row>
    <row r="39" customFormat="false" ht="15" hidden="false" customHeight="false" outlineLevel="0" collapsed="false">
      <c r="D39" s="11"/>
      <c r="F39" s="11" t="n">
        <f aca="false">IF(E39=TRUE(),D39,0)</f>
        <v>0</v>
      </c>
      <c r="I39" s="16"/>
      <c r="K39" s="11"/>
    </row>
    <row r="40" customFormat="false" ht="15" hidden="false" customHeight="false" outlineLevel="0" collapsed="false">
      <c r="D40" s="11"/>
      <c r="F40" s="11" t="n">
        <f aca="false">IF(E40=TRUE(),D40,0)</f>
        <v>0</v>
      </c>
      <c r="I40" s="16"/>
      <c r="K40" s="11"/>
    </row>
    <row r="41" customFormat="false" ht="15" hidden="false" customHeight="false" outlineLevel="0" collapsed="false">
      <c r="D41" s="11"/>
      <c r="F41" s="11" t="n">
        <f aca="false">IF(E41=TRUE(),D41,0)</f>
        <v>0</v>
      </c>
      <c r="I41" s="16"/>
      <c r="K41" s="11"/>
    </row>
    <row r="42" customFormat="false" ht="15" hidden="false" customHeight="false" outlineLevel="0" collapsed="false">
      <c r="D42" s="11"/>
      <c r="F42" s="11" t="n">
        <f aca="false">IF(E42=TRUE(),D42,0)</f>
        <v>0</v>
      </c>
      <c r="I42" s="16"/>
      <c r="K42" s="11"/>
    </row>
    <row r="43" customFormat="false" ht="15" hidden="false" customHeight="false" outlineLevel="0" collapsed="false">
      <c r="D43" s="11"/>
      <c r="F43" s="11" t="n">
        <f aca="false">IF(E43=TRUE(),D43,0)</f>
        <v>0</v>
      </c>
      <c r="I43" s="16"/>
      <c r="K43" s="11"/>
    </row>
    <row r="44" customFormat="false" ht="15" hidden="false" customHeight="false" outlineLevel="0" collapsed="false">
      <c r="D44" s="11"/>
      <c r="F44" s="11" t="n">
        <f aca="false">IF(E44=TRUE(),D44,0)</f>
        <v>0</v>
      </c>
      <c r="I44" s="16"/>
      <c r="K44" s="11"/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/>
      <c r="K45" s="11"/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/>
      <c r="K46" s="11"/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/>
      <c r="K47" s="11"/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/>
      <c r="K48" s="11"/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/>
      <c r="K49" s="11"/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/>
      <c r="K50" s="11"/>
    </row>
    <row r="51" customFormat="false" ht="15" hidden="false" customHeight="false" outlineLevel="0" collapsed="false">
      <c r="I51" s="16"/>
      <c r="K51" s="11"/>
    </row>
    <row r="52" customFormat="false" ht="15" hidden="false" customHeight="false" outlineLevel="0" collapsed="false">
      <c r="I52" s="16"/>
      <c r="K52" s="11"/>
    </row>
    <row r="53" customFormat="false" ht="15" hidden="false" customHeight="false" outlineLevel="0" collapsed="false">
      <c r="B53" s="13" t="s">
        <v>40</v>
      </c>
      <c r="C53" s="13"/>
      <c r="I53" s="16"/>
      <c r="K53" s="11"/>
    </row>
    <row r="54" customFormat="false" ht="15" hidden="false" customHeight="false" outlineLevel="0" collapsed="false">
      <c r="B54" s="14" t="s">
        <v>41</v>
      </c>
      <c r="C54" s="14" t="s">
        <v>19</v>
      </c>
      <c r="I54" s="16"/>
      <c r="K54" s="11"/>
    </row>
    <row r="55" customFormat="false" ht="15" hidden="false" customHeight="false" outlineLevel="0" collapsed="false">
      <c r="C55" s="11"/>
      <c r="I55" s="16"/>
      <c r="K55" s="11"/>
    </row>
    <row r="56" customFormat="false" ht="15" hidden="false" customHeight="false" outlineLevel="0" collapsed="false">
      <c r="C56" s="11"/>
      <c r="I56" s="16"/>
      <c r="K56" s="11"/>
    </row>
    <row r="57" customFormat="false" ht="15" hidden="false" customHeight="false" outlineLevel="0" collapsed="false">
      <c r="C57" s="11"/>
      <c r="I57" s="16"/>
      <c r="K57" s="11"/>
    </row>
    <row r="58" customFormat="false" ht="15" hidden="false" customHeight="false" outlineLevel="0" collapsed="false">
      <c r="C58" s="11"/>
      <c r="I58" s="16"/>
      <c r="K58" s="11"/>
    </row>
    <row r="59" customFormat="false" ht="15" hidden="false" customHeight="false" outlineLevel="0" collapsed="false">
      <c r="C59" s="11"/>
      <c r="I59" s="16"/>
      <c r="K59" s="11"/>
    </row>
    <row r="60" customFormat="false" ht="15" hidden="false" customHeight="false" outlineLevel="0" collapsed="false">
      <c r="I60" s="16"/>
      <c r="K60" s="11"/>
    </row>
    <row r="61" customFormat="false" ht="15" hidden="false" customHeight="false" outlineLevel="0" collapsed="false">
      <c r="I61" s="16"/>
      <c r="K61" s="11"/>
    </row>
    <row r="62" customFormat="false" ht="15" hidden="false" customHeight="false" outlineLevel="0" collapsed="false">
      <c r="I62" s="16"/>
      <c r="K62" s="11"/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67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SUM(IncomeTbl_Feb[Amount])</f>
        <v>0</v>
      </c>
      <c r="C6" s="6"/>
      <c r="D6" s="6" t="n">
        <f aca="false">R6+R7</f>
        <v>0</v>
      </c>
      <c r="E6" s="6"/>
      <c r="F6" s="6" t="n">
        <f aca="false">B6-D6</f>
        <v>0</v>
      </c>
      <c r="G6" s="6"/>
      <c r="H6" s="7" t="n">
        <f aca="false">IFERROR(R8/B6,0)</f>
        <v>0</v>
      </c>
      <c r="I6" s="7"/>
      <c r="J6" s="8" t="str">
        <f aca="false">COUNTIF(BillsTbl_Feb[Paid?],TRUE())&amp;" / "&amp;COUNTA(BillsTbl_Feb[Bill Name])</f>
        <v>0 / 0</v>
      </c>
      <c r="K6" s="8"/>
      <c r="Q6" s="9" t="s">
        <v>9</v>
      </c>
      <c r="R6" s="10" t="n">
        <f aca="false">O31+O27+O25+O29</f>
        <v>0</v>
      </c>
      <c r="T6" s="5" t="s">
        <v>10</v>
      </c>
      <c r="U6" s="11" t="n">
        <f aca="false">C33</f>
        <v>0</v>
      </c>
      <c r="V6" s="11" t="n">
        <f aca="false">R6</f>
        <v>0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0</v>
      </c>
      <c r="T7" s="5" t="s">
        <v>12</v>
      </c>
      <c r="U7" s="11" t="n">
        <f aca="false">C34</f>
        <v>0</v>
      </c>
      <c r="V7" s="11" t="n">
        <f aca="false">R7</f>
        <v>0</v>
      </c>
    </row>
    <row r="8" customFormat="false" ht="15" hidden="false" customHeight="false" outlineLevel="0" collapsed="false">
      <c r="Q8" s="9" t="s">
        <v>13</v>
      </c>
      <c r="R8" s="10" t="n">
        <f aca="false">SUM(SavingsTbl_Feb[Amount])</f>
        <v>0</v>
      </c>
      <c r="T8" s="5" t="s">
        <v>14</v>
      </c>
      <c r="U8" s="11" t="n">
        <f aca="false">C35</f>
        <v>0</v>
      </c>
      <c r="V8" s="11" t="n">
        <f aca="false">R8</f>
        <v>0</v>
      </c>
    </row>
    <row r="9" customFormat="false" ht="15" hidden="false" customHeight="false" outlineLevel="0" collapsed="false">
      <c r="Q9" s="9" t="s">
        <v>2</v>
      </c>
      <c r="R9" s="12" t="n">
        <f aca="false">R6+R7</f>
        <v>0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C24" s="11"/>
      <c r="I24" s="16"/>
      <c r="K24" s="11"/>
      <c r="N24" s="17" t="s">
        <v>24</v>
      </c>
      <c r="O24" s="18" t="n">
        <f aca="false">SUMIFS(BillsTbl_Feb[Actual],BillsTbl_Feb[Category],"Subscriptions")+SUMIFS(TxnTbl_Feb[Amount],TxnTbl_Feb[Category],"Subscriptions")</f>
        <v>0</v>
      </c>
    </row>
    <row r="25" customFormat="false" ht="15" hidden="false" customHeight="false" outlineLevel="0" collapsed="false">
      <c r="C25" s="11"/>
      <c r="I25" s="16"/>
      <c r="K25" s="11"/>
      <c r="N25" s="17" t="s">
        <v>25</v>
      </c>
      <c r="O25" s="18" t="n">
        <f aca="false">SUMIFS(BillsTbl_Feb[Actual],BillsTbl_Feb[Category],"Gas")+SUMIFS(TxnTbl_Feb[Amount],TxnTbl_Feb[Category],"Gas")</f>
        <v>0</v>
      </c>
    </row>
    <row r="26" customFormat="false" ht="15" hidden="false" customHeight="false" outlineLevel="0" collapsed="false">
      <c r="C26" s="11"/>
      <c r="I26" s="16"/>
      <c r="K26" s="11"/>
      <c r="N26" s="17" t="s">
        <v>26</v>
      </c>
      <c r="O26" s="18" t="n">
        <f aca="false">SUMIFS(BillsTbl_Feb[Actual],BillsTbl_Feb[Category],"Other")+SUMIFS(TxnTbl_Feb[Amount],TxnTbl_Feb[Category],"Other")</f>
        <v>0</v>
      </c>
    </row>
    <row r="27" customFormat="false" ht="15" hidden="false" customHeight="false" outlineLevel="0" collapsed="false">
      <c r="C27" s="11"/>
      <c r="I27" s="16"/>
      <c r="K27" s="11"/>
      <c r="N27" s="17" t="s">
        <v>27</v>
      </c>
      <c r="O27" s="18" t="n">
        <f aca="false">SUMIFS(BillsTbl_Feb[Actual],BillsTbl_Feb[Category],"Groceries")+SUMIFS(TxnTbl_Feb[Amount],TxnTbl_Feb[Category],"Groceries")</f>
        <v>0</v>
      </c>
    </row>
    <row r="28" customFormat="false" ht="15" hidden="false" customHeight="false" outlineLevel="0" collapsed="false">
      <c r="C28" s="11"/>
      <c r="I28" s="16"/>
      <c r="K28" s="11"/>
      <c r="N28" s="17" t="s">
        <v>28</v>
      </c>
      <c r="O28" s="18" t="n">
        <f aca="false">SUMIFS(BillsTbl_Feb[Actual],BillsTbl_Feb[Category],"Dining out")+SUMIFS(TxnTbl_Feb[Amount],TxnTbl_Feb[Category],"Dining out")</f>
        <v>0</v>
      </c>
    </row>
    <row r="29" customFormat="false" ht="15" hidden="false" customHeight="false" outlineLevel="0" collapsed="false">
      <c r="C29" s="11"/>
      <c r="I29" s="16"/>
      <c r="K29" s="11"/>
      <c r="N29" s="17" t="s">
        <v>29</v>
      </c>
      <c r="O29" s="18" t="n">
        <f aca="false">SUMIFS(BillsTbl_Feb[Actual],BillsTbl_Feb[Category],"Rent")+SUMIFS(TxnTbl_Feb[Amount],TxnTbl_Feb[Category],"Rent")</f>
        <v>0</v>
      </c>
    </row>
    <row r="30" customFormat="false" ht="15" hidden="false" customHeight="false" outlineLevel="0" collapsed="false">
      <c r="I30" s="16"/>
      <c r="K30" s="11"/>
      <c r="N30" s="17" t="s">
        <v>30</v>
      </c>
      <c r="O30" s="18" t="n">
        <f aca="false">SUMIFS(BillsTbl_Feb[Actual],BillsTbl_Feb[Category],"Shopping")+SUMIFS(TxnTbl_Feb[Amount],TxnTbl_Feb[Category],"Shopping")</f>
        <v>0</v>
      </c>
    </row>
    <row r="31" customFormat="false" ht="15" hidden="false" customHeight="false" outlineLevel="0" collapsed="false">
      <c r="I31" s="16"/>
      <c r="K31" s="11"/>
      <c r="N31" s="17" t="s">
        <v>31</v>
      </c>
      <c r="O31" s="18" t="n">
        <f aca="false">SUMIFS(BillsTbl_Feb[Actual],BillsTbl_Feb[Category],"Credit Card")+SUMIFS(TxnTbl_Feb[Amount],TxnTbl_Feb[Category],"Credit Card")</f>
        <v>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/>
      <c r="K32" s="11"/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0</v>
      </c>
      <c r="I33" s="16"/>
      <c r="K33" s="11"/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0</v>
      </c>
      <c r="I34" s="16"/>
      <c r="K34" s="11"/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0</v>
      </c>
      <c r="I35" s="16"/>
      <c r="K35" s="11"/>
    </row>
    <row r="36" customFormat="false" ht="15" hidden="false" customHeight="false" outlineLevel="0" collapsed="false">
      <c r="I36" s="16"/>
      <c r="K36" s="11"/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/>
      <c r="K37" s="11"/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/>
      <c r="K38" s="11"/>
    </row>
    <row r="39" customFormat="false" ht="15" hidden="false" customHeight="false" outlineLevel="0" collapsed="false">
      <c r="D39" s="11"/>
      <c r="F39" s="11" t="n">
        <f aca="false">IF(E39=TRUE(),D39,0)</f>
        <v>0</v>
      </c>
      <c r="I39" s="16"/>
      <c r="K39" s="11"/>
    </row>
    <row r="40" customFormat="false" ht="15" hidden="false" customHeight="false" outlineLevel="0" collapsed="false">
      <c r="D40" s="11"/>
      <c r="F40" s="11" t="n">
        <f aca="false">IF(E40=TRUE(),D40,0)</f>
        <v>0</v>
      </c>
      <c r="I40" s="16"/>
      <c r="K40" s="11"/>
    </row>
    <row r="41" customFormat="false" ht="15" hidden="false" customHeight="false" outlineLevel="0" collapsed="false">
      <c r="D41" s="11"/>
      <c r="F41" s="11" t="n">
        <f aca="false">IF(E41=TRUE(),D41,0)</f>
        <v>0</v>
      </c>
      <c r="I41" s="16"/>
      <c r="K41" s="11"/>
    </row>
    <row r="42" customFormat="false" ht="15" hidden="false" customHeight="false" outlineLevel="0" collapsed="false">
      <c r="D42" s="11"/>
      <c r="F42" s="11" t="n">
        <f aca="false">IF(E42=TRUE(),D42,0)</f>
        <v>0</v>
      </c>
      <c r="I42" s="16"/>
      <c r="K42" s="11"/>
    </row>
    <row r="43" customFormat="false" ht="15" hidden="false" customHeight="false" outlineLevel="0" collapsed="false">
      <c r="D43" s="11"/>
      <c r="F43" s="11" t="n">
        <f aca="false">IF(E43=TRUE(),D43,0)</f>
        <v>0</v>
      </c>
      <c r="I43" s="16"/>
      <c r="K43" s="11"/>
    </row>
    <row r="44" customFormat="false" ht="15" hidden="false" customHeight="false" outlineLevel="0" collapsed="false">
      <c r="D44" s="11"/>
      <c r="F44" s="11" t="n">
        <f aca="false">IF(E44=TRUE(),D44,0)</f>
        <v>0</v>
      </c>
      <c r="I44" s="16"/>
      <c r="K44" s="11"/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/>
      <c r="K45" s="11"/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/>
      <c r="K46" s="11"/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/>
      <c r="K47" s="11"/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/>
      <c r="K48" s="11"/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/>
      <c r="K49" s="11"/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/>
      <c r="K50" s="11"/>
    </row>
    <row r="51" customFormat="false" ht="15" hidden="false" customHeight="false" outlineLevel="0" collapsed="false">
      <c r="I51" s="16"/>
      <c r="K51" s="11"/>
    </row>
    <row r="52" customFormat="false" ht="15" hidden="false" customHeight="false" outlineLevel="0" collapsed="false">
      <c r="I52" s="16"/>
      <c r="K52" s="11"/>
    </row>
    <row r="53" customFormat="false" ht="15" hidden="false" customHeight="false" outlineLevel="0" collapsed="false">
      <c r="B53" s="13" t="s">
        <v>40</v>
      </c>
      <c r="C53" s="13"/>
      <c r="I53" s="16"/>
      <c r="K53" s="11"/>
    </row>
    <row r="54" customFormat="false" ht="15" hidden="false" customHeight="false" outlineLevel="0" collapsed="false">
      <c r="B54" s="14" t="s">
        <v>41</v>
      </c>
      <c r="C54" s="14" t="s">
        <v>19</v>
      </c>
      <c r="I54" s="16"/>
      <c r="K54" s="11"/>
    </row>
    <row r="55" customFormat="false" ht="15" hidden="false" customHeight="false" outlineLevel="0" collapsed="false">
      <c r="C55" s="11"/>
      <c r="I55" s="16"/>
      <c r="K55" s="11"/>
    </row>
    <row r="56" customFormat="false" ht="15" hidden="false" customHeight="false" outlineLevel="0" collapsed="false">
      <c r="C56" s="11"/>
      <c r="I56" s="16"/>
      <c r="K56" s="11"/>
    </row>
    <row r="57" customFormat="false" ht="15" hidden="false" customHeight="false" outlineLevel="0" collapsed="false">
      <c r="C57" s="11"/>
      <c r="I57" s="16"/>
      <c r="K57" s="11"/>
    </row>
    <row r="58" customFormat="false" ht="15" hidden="false" customHeight="false" outlineLevel="0" collapsed="false">
      <c r="C58" s="11"/>
      <c r="I58" s="16"/>
      <c r="K58" s="11"/>
    </row>
    <row r="59" customFormat="false" ht="15" hidden="false" customHeight="false" outlineLevel="0" collapsed="false">
      <c r="C59" s="11"/>
      <c r="I59" s="16"/>
      <c r="K59" s="11"/>
    </row>
    <row r="60" customFormat="false" ht="15" hidden="false" customHeight="false" outlineLevel="0" collapsed="false">
      <c r="I60" s="16"/>
      <c r="K60" s="11"/>
    </row>
    <row r="61" customFormat="false" ht="15" hidden="false" customHeight="false" outlineLevel="0" collapsed="false">
      <c r="I61" s="16"/>
      <c r="K61" s="11"/>
    </row>
    <row r="62" customFormat="false" ht="15" hidden="false" customHeight="false" outlineLevel="0" collapsed="false">
      <c r="I62" s="16"/>
      <c r="K62" s="11"/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SUM(IncomeTbl_Mar[Amount])</f>
        <v>0</v>
      </c>
      <c r="C6" s="6"/>
      <c r="D6" s="6" t="n">
        <f aca="false">R6+R7</f>
        <v>0</v>
      </c>
      <c r="E6" s="6"/>
      <c r="F6" s="6" t="n">
        <f aca="false">B6-D6</f>
        <v>0</v>
      </c>
      <c r="G6" s="6"/>
      <c r="H6" s="7" t="n">
        <f aca="false">IFERROR(R8/B6,0)</f>
        <v>0</v>
      </c>
      <c r="I6" s="7"/>
      <c r="J6" s="8" t="str">
        <f aca="false">COUNTIF(BillsTbl_Mar[Paid?],TRUE())&amp;" / "&amp;COUNTA(BillsTbl_Mar[Bill Name])</f>
        <v>0 / 0</v>
      </c>
      <c r="K6" s="8"/>
      <c r="Q6" s="9" t="s">
        <v>9</v>
      </c>
      <c r="R6" s="10" t="n">
        <f aca="false">O31+O27+O25+O29</f>
        <v>0</v>
      </c>
      <c r="T6" s="5" t="s">
        <v>10</v>
      </c>
      <c r="U6" s="11" t="n">
        <f aca="false">C33</f>
        <v>0</v>
      </c>
      <c r="V6" s="11" t="n">
        <f aca="false">R6</f>
        <v>0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0</v>
      </c>
      <c r="T7" s="5" t="s">
        <v>12</v>
      </c>
      <c r="U7" s="11" t="n">
        <f aca="false">C34</f>
        <v>0</v>
      </c>
      <c r="V7" s="11" t="n">
        <f aca="false">R7</f>
        <v>0</v>
      </c>
    </row>
    <row r="8" customFormat="false" ht="15" hidden="false" customHeight="false" outlineLevel="0" collapsed="false">
      <c r="Q8" s="9" t="s">
        <v>13</v>
      </c>
      <c r="R8" s="10" t="n">
        <f aca="false">SUM(SavingsTbl_Mar[Amount])</f>
        <v>0</v>
      </c>
      <c r="T8" s="5" t="s">
        <v>14</v>
      </c>
      <c r="U8" s="11" t="n">
        <f aca="false">C35</f>
        <v>0</v>
      </c>
      <c r="V8" s="11" t="n">
        <f aca="false">R8</f>
        <v>0</v>
      </c>
    </row>
    <row r="9" customFormat="false" ht="15" hidden="false" customHeight="false" outlineLevel="0" collapsed="false">
      <c r="Q9" s="9" t="s">
        <v>2</v>
      </c>
      <c r="R9" s="12" t="n">
        <f aca="false">R6+R7</f>
        <v>0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C24" s="11"/>
      <c r="I24" s="16"/>
      <c r="K24" s="11"/>
      <c r="N24" s="17" t="s">
        <v>24</v>
      </c>
      <c r="O24" s="18" t="n">
        <f aca="false">SUMIFS(BillsTbl_Mar[Actual],BillsTbl_Mar[Category],"Subscriptions")+SUMIFS(TxnTbl_Mar[Amount],TxnTbl_Mar[Category],"Subscriptions")</f>
        <v>0</v>
      </c>
    </row>
    <row r="25" customFormat="false" ht="15" hidden="false" customHeight="false" outlineLevel="0" collapsed="false">
      <c r="C25" s="11"/>
      <c r="I25" s="16"/>
      <c r="K25" s="11"/>
      <c r="N25" s="17" t="s">
        <v>25</v>
      </c>
      <c r="O25" s="18" t="n">
        <f aca="false">SUMIFS(BillsTbl_Mar[Actual],BillsTbl_Mar[Category],"Gas")+SUMIFS(TxnTbl_Mar[Amount],TxnTbl_Mar[Category],"Gas")</f>
        <v>0</v>
      </c>
    </row>
    <row r="26" customFormat="false" ht="15" hidden="false" customHeight="false" outlineLevel="0" collapsed="false">
      <c r="C26" s="11"/>
      <c r="I26" s="16"/>
      <c r="K26" s="11"/>
      <c r="N26" s="17" t="s">
        <v>26</v>
      </c>
      <c r="O26" s="18" t="n">
        <f aca="false">SUMIFS(BillsTbl_Mar[Actual],BillsTbl_Mar[Category],"Other")+SUMIFS(TxnTbl_Mar[Amount],TxnTbl_Mar[Category],"Other")</f>
        <v>0</v>
      </c>
    </row>
    <row r="27" customFormat="false" ht="15" hidden="false" customHeight="false" outlineLevel="0" collapsed="false">
      <c r="C27" s="11"/>
      <c r="I27" s="16"/>
      <c r="K27" s="11"/>
      <c r="N27" s="17" t="s">
        <v>27</v>
      </c>
      <c r="O27" s="18" t="n">
        <f aca="false">SUMIFS(BillsTbl_Mar[Actual],BillsTbl_Mar[Category],"Groceries")+SUMIFS(TxnTbl_Mar[Amount],TxnTbl_Mar[Category],"Groceries")</f>
        <v>0</v>
      </c>
    </row>
    <row r="28" customFormat="false" ht="15" hidden="false" customHeight="false" outlineLevel="0" collapsed="false">
      <c r="C28" s="11"/>
      <c r="I28" s="16"/>
      <c r="K28" s="11"/>
      <c r="N28" s="17" t="s">
        <v>28</v>
      </c>
      <c r="O28" s="18" t="n">
        <f aca="false">SUMIFS(BillsTbl_Mar[Actual],BillsTbl_Mar[Category],"Dining out")+SUMIFS(TxnTbl_Mar[Amount],TxnTbl_Mar[Category],"Dining out")</f>
        <v>0</v>
      </c>
    </row>
    <row r="29" customFormat="false" ht="15" hidden="false" customHeight="false" outlineLevel="0" collapsed="false">
      <c r="C29" s="11"/>
      <c r="I29" s="16"/>
      <c r="K29" s="11"/>
      <c r="N29" s="17" t="s">
        <v>29</v>
      </c>
      <c r="O29" s="18" t="n">
        <f aca="false">SUMIFS(BillsTbl_Mar[Actual],BillsTbl_Mar[Category],"Rent")+SUMIFS(TxnTbl_Mar[Amount],TxnTbl_Mar[Category],"Rent")</f>
        <v>0</v>
      </c>
    </row>
    <row r="30" customFormat="false" ht="15" hidden="false" customHeight="false" outlineLevel="0" collapsed="false">
      <c r="I30" s="16"/>
      <c r="K30" s="11"/>
      <c r="N30" s="17" t="s">
        <v>30</v>
      </c>
      <c r="O30" s="18" t="n">
        <f aca="false">SUMIFS(BillsTbl_Mar[Actual],BillsTbl_Mar[Category],"Shopping")+SUMIFS(TxnTbl_Mar[Amount],TxnTbl_Mar[Category],"Shopping")</f>
        <v>0</v>
      </c>
    </row>
    <row r="31" customFormat="false" ht="15" hidden="false" customHeight="false" outlineLevel="0" collapsed="false">
      <c r="I31" s="16"/>
      <c r="K31" s="11"/>
      <c r="N31" s="17" t="s">
        <v>31</v>
      </c>
      <c r="O31" s="18" t="n">
        <f aca="false">SUMIFS(BillsTbl_Mar[Actual],BillsTbl_Mar[Category],"Credit Card")+SUMIFS(TxnTbl_Mar[Amount],TxnTbl_Mar[Category],"Credit Card")</f>
        <v>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/>
      <c r="K32" s="11"/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0</v>
      </c>
      <c r="I33" s="16"/>
      <c r="K33" s="11"/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0</v>
      </c>
      <c r="I34" s="16"/>
      <c r="K34" s="11"/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0</v>
      </c>
      <c r="I35" s="16"/>
      <c r="K35" s="11"/>
    </row>
    <row r="36" customFormat="false" ht="15" hidden="false" customHeight="false" outlineLevel="0" collapsed="false">
      <c r="I36" s="16"/>
      <c r="K36" s="11"/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/>
      <c r="K37" s="11"/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/>
      <c r="K38" s="11"/>
    </row>
    <row r="39" customFormat="false" ht="15" hidden="false" customHeight="false" outlineLevel="0" collapsed="false">
      <c r="D39" s="11"/>
      <c r="F39" s="11" t="n">
        <f aca="false">IF(E39=TRUE(),D39,0)</f>
        <v>0</v>
      </c>
      <c r="I39" s="16"/>
      <c r="K39" s="11"/>
    </row>
    <row r="40" customFormat="false" ht="15" hidden="false" customHeight="false" outlineLevel="0" collapsed="false">
      <c r="D40" s="11"/>
      <c r="F40" s="11" t="n">
        <f aca="false">IF(E40=TRUE(),D40,0)</f>
        <v>0</v>
      </c>
      <c r="I40" s="16"/>
      <c r="K40" s="11"/>
    </row>
    <row r="41" customFormat="false" ht="15" hidden="false" customHeight="false" outlineLevel="0" collapsed="false">
      <c r="D41" s="11"/>
      <c r="F41" s="11" t="n">
        <f aca="false">IF(E41=TRUE(),D41,0)</f>
        <v>0</v>
      </c>
      <c r="I41" s="16"/>
      <c r="K41" s="11"/>
    </row>
    <row r="42" customFormat="false" ht="15" hidden="false" customHeight="false" outlineLevel="0" collapsed="false">
      <c r="D42" s="11"/>
      <c r="F42" s="11" t="n">
        <f aca="false">IF(E42=TRUE(),D42,0)</f>
        <v>0</v>
      </c>
      <c r="I42" s="16"/>
      <c r="K42" s="11"/>
    </row>
    <row r="43" customFormat="false" ht="15" hidden="false" customHeight="false" outlineLevel="0" collapsed="false">
      <c r="D43" s="11"/>
      <c r="F43" s="11" t="n">
        <f aca="false">IF(E43=TRUE(),D43,0)</f>
        <v>0</v>
      </c>
      <c r="I43" s="16"/>
      <c r="K43" s="11"/>
    </row>
    <row r="44" customFormat="false" ht="15" hidden="false" customHeight="false" outlineLevel="0" collapsed="false">
      <c r="D44" s="11"/>
      <c r="F44" s="11" t="n">
        <f aca="false">IF(E44=TRUE(),D44,0)</f>
        <v>0</v>
      </c>
      <c r="I44" s="16"/>
      <c r="K44" s="11"/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/>
      <c r="K45" s="11"/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/>
      <c r="K46" s="11"/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/>
      <c r="K47" s="11"/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/>
      <c r="K48" s="11"/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/>
      <c r="K49" s="11"/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/>
      <c r="K50" s="11"/>
    </row>
    <row r="51" customFormat="false" ht="15" hidden="false" customHeight="false" outlineLevel="0" collapsed="false">
      <c r="I51" s="16"/>
      <c r="K51" s="11"/>
    </row>
    <row r="52" customFormat="false" ht="15" hidden="false" customHeight="false" outlineLevel="0" collapsed="false">
      <c r="I52" s="16"/>
      <c r="K52" s="11"/>
    </row>
    <row r="53" customFormat="false" ht="15" hidden="false" customHeight="false" outlineLevel="0" collapsed="false">
      <c r="B53" s="13" t="s">
        <v>40</v>
      </c>
      <c r="C53" s="13"/>
      <c r="I53" s="16"/>
      <c r="K53" s="11"/>
    </row>
    <row r="54" customFormat="false" ht="15" hidden="false" customHeight="false" outlineLevel="0" collapsed="false">
      <c r="B54" s="14" t="s">
        <v>41</v>
      </c>
      <c r="C54" s="14" t="s">
        <v>19</v>
      </c>
      <c r="I54" s="16"/>
      <c r="K54" s="11"/>
    </row>
    <row r="55" customFormat="false" ht="15" hidden="false" customHeight="false" outlineLevel="0" collapsed="false">
      <c r="C55" s="11"/>
      <c r="I55" s="16"/>
      <c r="K55" s="11"/>
    </row>
    <row r="56" customFormat="false" ht="15" hidden="false" customHeight="false" outlineLevel="0" collapsed="false">
      <c r="C56" s="11"/>
      <c r="I56" s="16"/>
      <c r="K56" s="11"/>
    </row>
    <row r="57" customFormat="false" ht="15" hidden="false" customHeight="false" outlineLevel="0" collapsed="false">
      <c r="C57" s="11"/>
      <c r="I57" s="16"/>
      <c r="K57" s="11"/>
    </row>
    <row r="58" customFormat="false" ht="15" hidden="false" customHeight="false" outlineLevel="0" collapsed="false">
      <c r="C58" s="11"/>
      <c r="I58" s="16"/>
      <c r="K58" s="11"/>
    </row>
    <row r="59" customFormat="false" ht="15" hidden="false" customHeight="false" outlineLevel="0" collapsed="false">
      <c r="C59" s="11"/>
      <c r="I59" s="16"/>
      <c r="K59" s="11"/>
    </row>
    <row r="60" customFormat="false" ht="15" hidden="false" customHeight="false" outlineLevel="0" collapsed="false">
      <c r="I60" s="16"/>
      <c r="K60" s="11"/>
    </row>
    <row r="61" customFormat="false" ht="15" hidden="false" customHeight="false" outlineLevel="0" collapsed="false">
      <c r="I61" s="16"/>
      <c r="K61" s="11"/>
    </row>
    <row r="62" customFormat="false" ht="15" hidden="false" customHeight="false" outlineLevel="0" collapsed="false">
      <c r="I62" s="16"/>
      <c r="K62" s="11"/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69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SUM(IncomeTbl_Apr[Amount])</f>
        <v>0</v>
      </c>
      <c r="C6" s="6"/>
      <c r="D6" s="6" t="n">
        <f aca="false">R6+R7</f>
        <v>0</v>
      </c>
      <c r="E6" s="6"/>
      <c r="F6" s="6" t="n">
        <f aca="false">B6-D6</f>
        <v>0</v>
      </c>
      <c r="G6" s="6"/>
      <c r="H6" s="7" t="n">
        <f aca="false">IFERROR(R8/B6,0)</f>
        <v>0</v>
      </c>
      <c r="I6" s="7"/>
      <c r="J6" s="8" t="str">
        <f aca="false">COUNTIF(BillsTbl_Apr[Paid?],TRUE())&amp;" / "&amp;COUNTA(BillsTbl_Apr[Bill Name])</f>
        <v>0 / 0</v>
      </c>
      <c r="K6" s="8"/>
      <c r="Q6" s="9" t="s">
        <v>9</v>
      </c>
      <c r="R6" s="10" t="n">
        <f aca="false">O31+O27+O25+O29</f>
        <v>0</v>
      </c>
      <c r="T6" s="5" t="s">
        <v>10</v>
      </c>
      <c r="U6" s="11" t="n">
        <f aca="false">C33</f>
        <v>0</v>
      </c>
      <c r="V6" s="11" t="n">
        <f aca="false">R6</f>
        <v>0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0</v>
      </c>
      <c r="T7" s="5" t="s">
        <v>12</v>
      </c>
      <c r="U7" s="11" t="n">
        <f aca="false">C34</f>
        <v>0</v>
      </c>
      <c r="V7" s="11" t="n">
        <f aca="false">R7</f>
        <v>0</v>
      </c>
    </row>
    <row r="8" customFormat="false" ht="15" hidden="false" customHeight="false" outlineLevel="0" collapsed="false">
      <c r="Q8" s="9" t="s">
        <v>13</v>
      </c>
      <c r="R8" s="10" t="n">
        <f aca="false">SUM(SavingsTbl_Apr[Amount])</f>
        <v>0</v>
      </c>
      <c r="T8" s="5" t="s">
        <v>14</v>
      </c>
      <c r="U8" s="11" t="n">
        <f aca="false">C35</f>
        <v>0</v>
      </c>
      <c r="V8" s="11" t="n">
        <f aca="false">R8</f>
        <v>0</v>
      </c>
    </row>
    <row r="9" customFormat="false" ht="15" hidden="false" customHeight="false" outlineLevel="0" collapsed="false">
      <c r="Q9" s="9" t="s">
        <v>2</v>
      </c>
      <c r="R9" s="12" t="n">
        <f aca="false">R6+R7</f>
        <v>0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C24" s="11"/>
      <c r="I24" s="16"/>
      <c r="K24" s="11"/>
      <c r="N24" s="17" t="s">
        <v>24</v>
      </c>
      <c r="O24" s="18" t="n">
        <f aca="false">SUMIFS(BillsTbl_Apr[Actual],BillsTbl_Apr[Category],"Subscriptions")+SUMIFS(TxnTbl_Apr[Amount],TxnTbl_Apr[Category],"Subscriptions")</f>
        <v>0</v>
      </c>
    </row>
    <row r="25" customFormat="false" ht="15" hidden="false" customHeight="false" outlineLevel="0" collapsed="false">
      <c r="C25" s="11"/>
      <c r="I25" s="16"/>
      <c r="K25" s="11"/>
      <c r="N25" s="17" t="s">
        <v>25</v>
      </c>
      <c r="O25" s="18" t="n">
        <f aca="false">SUMIFS(BillsTbl_Apr[Actual],BillsTbl_Apr[Category],"Gas")+SUMIFS(TxnTbl_Apr[Amount],TxnTbl_Apr[Category],"Gas")</f>
        <v>0</v>
      </c>
    </row>
    <row r="26" customFormat="false" ht="15" hidden="false" customHeight="false" outlineLevel="0" collapsed="false">
      <c r="C26" s="11"/>
      <c r="I26" s="16"/>
      <c r="K26" s="11"/>
      <c r="N26" s="17" t="s">
        <v>26</v>
      </c>
      <c r="O26" s="18" t="n">
        <f aca="false">SUMIFS(BillsTbl_Apr[Actual],BillsTbl_Apr[Category],"Other")+SUMIFS(TxnTbl_Apr[Amount],TxnTbl_Apr[Category],"Other")</f>
        <v>0</v>
      </c>
    </row>
    <row r="27" customFormat="false" ht="15" hidden="false" customHeight="false" outlineLevel="0" collapsed="false">
      <c r="C27" s="11"/>
      <c r="I27" s="16"/>
      <c r="K27" s="11"/>
      <c r="N27" s="17" t="s">
        <v>27</v>
      </c>
      <c r="O27" s="18" t="n">
        <f aca="false">SUMIFS(BillsTbl_Apr[Actual],BillsTbl_Apr[Category],"Groceries")+SUMIFS(TxnTbl_Apr[Amount],TxnTbl_Apr[Category],"Groceries")</f>
        <v>0</v>
      </c>
    </row>
    <row r="28" customFormat="false" ht="15" hidden="false" customHeight="false" outlineLevel="0" collapsed="false">
      <c r="C28" s="11"/>
      <c r="I28" s="16"/>
      <c r="K28" s="11"/>
      <c r="N28" s="17" t="s">
        <v>28</v>
      </c>
      <c r="O28" s="18" t="n">
        <f aca="false">SUMIFS(BillsTbl_Apr[Actual],BillsTbl_Apr[Category],"Dining out")+SUMIFS(TxnTbl_Apr[Amount],TxnTbl_Apr[Category],"Dining out")</f>
        <v>0</v>
      </c>
    </row>
    <row r="29" customFormat="false" ht="15" hidden="false" customHeight="false" outlineLevel="0" collapsed="false">
      <c r="C29" s="11"/>
      <c r="I29" s="16"/>
      <c r="K29" s="11"/>
      <c r="N29" s="17" t="s">
        <v>29</v>
      </c>
      <c r="O29" s="18" t="n">
        <f aca="false">SUMIFS(BillsTbl_Apr[Actual],BillsTbl_Apr[Category],"Rent")+SUMIFS(TxnTbl_Apr[Amount],TxnTbl_Apr[Category],"Rent")</f>
        <v>0</v>
      </c>
    </row>
    <row r="30" customFormat="false" ht="15" hidden="false" customHeight="false" outlineLevel="0" collapsed="false">
      <c r="I30" s="16"/>
      <c r="K30" s="11"/>
      <c r="N30" s="17" t="s">
        <v>30</v>
      </c>
      <c r="O30" s="18" t="n">
        <f aca="false">SUMIFS(BillsTbl_Apr[Actual],BillsTbl_Apr[Category],"Shopping")+SUMIFS(TxnTbl_Apr[Amount],TxnTbl_Apr[Category],"Shopping")</f>
        <v>0</v>
      </c>
    </row>
    <row r="31" customFormat="false" ht="15" hidden="false" customHeight="false" outlineLevel="0" collapsed="false">
      <c r="I31" s="16"/>
      <c r="K31" s="11"/>
      <c r="N31" s="17" t="s">
        <v>31</v>
      </c>
      <c r="O31" s="18" t="n">
        <f aca="false">SUMIFS(BillsTbl_Apr[Actual],BillsTbl_Apr[Category],"Credit Card")+SUMIFS(TxnTbl_Apr[Amount],TxnTbl_Apr[Category],"Credit Card")</f>
        <v>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/>
      <c r="K32" s="11"/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0</v>
      </c>
      <c r="I33" s="16"/>
      <c r="K33" s="11"/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0</v>
      </c>
      <c r="I34" s="16"/>
      <c r="K34" s="11"/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0</v>
      </c>
      <c r="I35" s="16"/>
      <c r="K35" s="11"/>
    </row>
    <row r="36" customFormat="false" ht="15" hidden="false" customHeight="false" outlineLevel="0" collapsed="false">
      <c r="I36" s="16"/>
      <c r="K36" s="11"/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/>
      <c r="K37" s="11"/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/>
      <c r="K38" s="11"/>
    </row>
    <row r="39" customFormat="false" ht="15" hidden="false" customHeight="false" outlineLevel="0" collapsed="false">
      <c r="D39" s="11"/>
      <c r="F39" s="11" t="n">
        <f aca="false">IF(E39=TRUE(),D39,0)</f>
        <v>0</v>
      </c>
      <c r="I39" s="16"/>
      <c r="K39" s="11"/>
    </row>
    <row r="40" customFormat="false" ht="15" hidden="false" customHeight="false" outlineLevel="0" collapsed="false">
      <c r="D40" s="11"/>
      <c r="F40" s="11" t="n">
        <f aca="false">IF(E40=TRUE(),D40,0)</f>
        <v>0</v>
      </c>
      <c r="I40" s="16"/>
      <c r="K40" s="11"/>
    </row>
    <row r="41" customFormat="false" ht="15" hidden="false" customHeight="false" outlineLevel="0" collapsed="false">
      <c r="D41" s="11"/>
      <c r="F41" s="11" t="n">
        <f aca="false">IF(E41=TRUE(),D41,0)</f>
        <v>0</v>
      </c>
      <c r="I41" s="16"/>
      <c r="K41" s="11"/>
    </row>
    <row r="42" customFormat="false" ht="15" hidden="false" customHeight="false" outlineLevel="0" collapsed="false">
      <c r="D42" s="11"/>
      <c r="F42" s="11" t="n">
        <f aca="false">IF(E42=TRUE(),D42,0)</f>
        <v>0</v>
      </c>
      <c r="I42" s="16"/>
      <c r="K42" s="11"/>
    </row>
    <row r="43" customFormat="false" ht="15" hidden="false" customHeight="false" outlineLevel="0" collapsed="false">
      <c r="D43" s="11"/>
      <c r="F43" s="11" t="n">
        <f aca="false">IF(E43=TRUE(),D43,0)</f>
        <v>0</v>
      </c>
      <c r="I43" s="16"/>
      <c r="K43" s="11"/>
    </row>
    <row r="44" customFormat="false" ht="15" hidden="false" customHeight="false" outlineLevel="0" collapsed="false">
      <c r="D44" s="11"/>
      <c r="F44" s="11" t="n">
        <f aca="false">IF(E44=TRUE(),D44,0)</f>
        <v>0</v>
      </c>
      <c r="I44" s="16"/>
      <c r="K44" s="11"/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/>
      <c r="K45" s="11"/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/>
      <c r="K46" s="11"/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/>
      <c r="K47" s="11"/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/>
      <c r="K48" s="11"/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/>
      <c r="K49" s="11"/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/>
      <c r="K50" s="11"/>
    </row>
    <row r="51" customFormat="false" ht="15" hidden="false" customHeight="false" outlineLevel="0" collapsed="false">
      <c r="I51" s="16"/>
      <c r="K51" s="11"/>
    </row>
    <row r="52" customFormat="false" ht="15" hidden="false" customHeight="false" outlineLevel="0" collapsed="false">
      <c r="I52" s="16"/>
      <c r="K52" s="11"/>
    </row>
    <row r="53" customFormat="false" ht="15" hidden="false" customHeight="false" outlineLevel="0" collapsed="false">
      <c r="B53" s="13" t="s">
        <v>40</v>
      </c>
      <c r="C53" s="13"/>
      <c r="I53" s="16"/>
      <c r="K53" s="11"/>
    </row>
    <row r="54" customFormat="false" ht="15" hidden="false" customHeight="false" outlineLevel="0" collapsed="false">
      <c r="B54" s="14" t="s">
        <v>41</v>
      </c>
      <c r="C54" s="14" t="s">
        <v>19</v>
      </c>
      <c r="I54" s="16"/>
      <c r="K54" s="11"/>
    </row>
    <row r="55" customFormat="false" ht="15" hidden="false" customHeight="false" outlineLevel="0" collapsed="false">
      <c r="C55" s="11"/>
      <c r="I55" s="16"/>
      <c r="K55" s="11"/>
    </row>
    <row r="56" customFormat="false" ht="15" hidden="false" customHeight="false" outlineLevel="0" collapsed="false">
      <c r="C56" s="11"/>
      <c r="I56" s="16"/>
      <c r="K56" s="11"/>
    </row>
    <row r="57" customFormat="false" ht="15" hidden="false" customHeight="false" outlineLevel="0" collapsed="false">
      <c r="C57" s="11"/>
      <c r="I57" s="16"/>
      <c r="K57" s="11"/>
    </row>
    <row r="58" customFormat="false" ht="15" hidden="false" customHeight="false" outlineLevel="0" collapsed="false">
      <c r="C58" s="11"/>
      <c r="I58" s="16"/>
      <c r="K58" s="11"/>
    </row>
    <row r="59" customFormat="false" ht="15" hidden="false" customHeight="false" outlineLevel="0" collapsed="false">
      <c r="C59" s="11"/>
      <c r="I59" s="16"/>
      <c r="K59" s="11"/>
    </row>
    <row r="60" customFormat="false" ht="15" hidden="false" customHeight="false" outlineLevel="0" collapsed="false">
      <c r="I60" s="16"/>
      <c r="K60" s="11"/>
    </row>
    <row r="61" customFormat="false" ht="15" hidden="false" customHeight="false" outlineLevel="0" collapsed="false">
      <c r="I61" s="16"/>
      <c r="K61" s="11"/>
    </row>
    <row r="62" customFormat="false" ht="15" hidden="false" customHeight="false" outlineLevel="0" collapsed="false">
      <c r="I62" s="16"/>
      <c r="K62" s="11"/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70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SUM(IncomeTbl_May[Amount])</f>
        <v>0</v>
      </c>
      <c r="C6" s="6"/>
      <c r="D6" s="6" t="n">
        <f aca="false">R6+R7</f>
        <v>0</v>
      </c>
      <c r="E6" s="6"/>
      <c r="F6" s="6" t="n">
        <f aca="false">B6-D6</f>
        <v>0</v>
      </c>
      <c r="G6" s="6"/>
      <c r="H6" s="7" t="n">
        <f aca="false">IFERROR(R8/B6,0)</f>
        <v>0</v>
      </c>
      <c r="I6" s="7"/>
      <c r="J6" s="8" t="str">
        <f aca="false">COUNTIF(BillsTbl_May[Paid?],TRUE())&amp;" / "&amp;COUNTA(BillsTbl_May[Bill Name])</f>
        <v>0 / 0</v>
      </c>
      <c r="K6" s="8"/>
      <c r="Q6" s="9" t="s">
        <v>9</v>
      </c>
      <c r="R6" s="10" t="n">
        <f aca="false">O31+O27+O25+O29</f>
        <v>0</v>
      </c>
      <c r="T6" s="5" t="s">
        <v>10</v>
      </c>
      <c r="U6" s="11" t="n">
        <f aca="false">C33</f>
        <v>0</v>
      </c>
      <c r="V6" s="11" t="n">
        <f aca="false">R6</f>
        <v>0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0</v>
      </c>
      <c r="T7" s="5" t="s">
        <v>12</v>
      </c>
      <c r="U7" s="11" t="n">
        <f aca="false">C34</f>
        <v>0</v>
      </c>
      <c r="V7" s="11" t="n">
        <f aca="false">R7</f>
        <v>0</v>
      </c>
    </row>
    <row r="8" customFormat="false" ht="15" hidden="false" customHeight="false" outlineLevel="0" collapsed="false">
      <c r="Q8" s="9" t="s">
        <v>13</v>
      </c>
      <c r="R8" s="10" t="n">
        <f aca="false">SUM(SavingsTbl_May[Amount])</f>
        <v>0</v>
      </c>
      <c r="T8" s="5" t="s">
        <v>14</v>
      </c>
      <c r="U8" s="11" t="n">
        <f aca="false">C35</f>
        <v>0</v>
      </c>
      <c r="V8" s="11" t="n">
        <f aca="false">R8</f>
        <v>0</v>
      </c>
    </row>
    <row r="9" customFormat="false" ht="15" hidden="false" customHeight="false" outlineLevel="0" collapsed="false">
      <c r="Q9" s="9" t="s">
        <v>2</v>
      </c>
      <c r="R9" s="12" t="n">
        <f aca="false">R6+R7</f>
        <v>0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C24" s="11"/>
      <c r="I24" s="16"/>
      <c r="K24" s="11"/>
      <c r="N24" s="17" t="s">
        <v>24</v>
      </c>
      <c r="O24" s="18" t="n">
        <f aca="false">SUMIFS(BillsTbl_May[Actual],BillsTbl_May[Category],"Subscriptions")+SUMIFS(TxnTbl_May[Amount],TxnTbl_May[Category],"Subscriptions")</f>
        <v>0</v>
      </c>
    </row>
    <row r="25" customFormat="false" ht="15" hidden="false" customHeight="false" outlineLevel="0" collapsed="false">
      <c r="C25" s="11"/>
      <c r="I25" s="16"/>
      <c r="K25" s="11"/>
      <c r="N25" s="17" t="s">
        <v>25</v>
      </c>
      <c r="O25" s="18" t="n">
        <f aca="false">SUMIFS(BillsTbl_May[Actual],BillsTbl_May[Category],"Gas")+SUMIFS(TxnTbl_May[Amount],TxnTbl_May[Category],"Gas")</f>
        <v>0</v>
      </c>
    </row>
    <row r="26" customFormat="false" ht="15" hidden="false" customHeight="false" outlineLevel="0" collapsed="false">
      <c r="C26" s="11"/>
      <c r="I26" s="16"/>
      <c r="K26" s="11"/>
      <c r="N26" s="17" t="s">
        <v>26</v>
      </c>
      <c r="O26" s="18" t="n">
        <f aca="false">SUMIFS(BillsTbl_May[Actual],BillsTbl_May[Category],"Other")+SUMIFS(TxnTbl_May[Amount],TxnTbl_May[Category],"Other")</f>
        <v>0</v>
      </c>
    </row>
    <row r="27" customFormat="false" ht="15" hidden="false" customHeight="false" outlineLevel="0" collapsed="false">
      <c r="C27" s="11"/>
      <c r="I27" s="16"/>
      <c r="K27" s="11"/>
      <c r="N27" s="17" t="s">
        <v>27</v>
      </c>
      <c r="O27" s="18" t="n">
        <f aca="false">SUMIFS(BillsTbl_May[Actual],BillsTbl_May[Category],"Groceries")+SUMIFS(TxnTbl_May[Amount],TxnTbl_May[Category],"Groceries")</f>
        <v>0</v>
      </c>
    </row>
    <row r="28" customFormat="false" ht="15" hidden="false" customHeight="false" outlineLevel="0" collapsed="false">
      <c r="C28" s="11"/>
      <c r="I28" s="16"/>
      <c r="K28" s="11"/>
      <c r="N28" s="17" t="s">
        <v>28</v>
      </c>
      <c r="O28" s="18" t="n">
        <f aca="false">SUMIFS(BillsTbl_May[Actual],BillsTbl_May[Category],"Dining out")+SUMIFS(TxnTbl_May[Amount],TxnTbl_May[Category],"Dining out")</f>
        <v>0</v>
      </c>
    </row>
    <row r="29" customFormat="false" ht="15" hidden="false" customHeight="false" outlineLevel="0" collapsed="false">
      <c r="C29" s="11"/>
      <c r="I29" s="16"/>
      <c r="K29" s="11"/>
      <c r="N29" s="17" t="s">
        <v>29</v>
      </c>
      <c r="O29" s="18" t="n">
        <f aca="false">SUMIFS(BillsTbl_May[Actual],BillsTbl_May[Category],"Rent")+SUMIFS(TxnTbl_May[Amount],TxnTbl_May[Category],"Rent")</f>
        <v>0</v>
      </c>
    </row>
    <row r="30" customFormat="false" ht="15" hidden="false" customHeight="false" outlineLevel="0" collapsed="false">
      <c r="I30" s="16"/>
      <c r="K30" s="11"/>
      <c r="N30" s="17" t="s">
        <v>30</v>
      </c>
      <c r="O30" s="18" t="n">
        <f aca="false">SUMIFS(BillsTbl_May[Actual],BillsTbl_May[Category],"Shopping")+SUMIFS(TxnTbl_May[Amount],TxnTbl_May[Category],"Shopping")</f>
        <v>0</v>
      </c>
    </row>
    <row r="31" customFormat="false" ht="15" hidden="false" customHeight="false" outlineLevel="0" collapsed="false">
      <c r="I31" s="16"/>
      <c r="K31" s="11"/>
      <c r="N31" s="17" t="s">
        <v>31</v>
      </c>
      <c r="O31" s="18" t="n">
        <f aca="false">SUMIFS(BillsTbl_May[Actual],BillsTbl_May[Category],"Credit Card")+SUMIFS(TxnTbl_May[Amount],TxnTbl_May[Category],"Credit Card")</f>
        <v>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/>
      <c r="K32" s="11"/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0</v>
      </c>
      <c r="I33" s="16"/>
      <c r="K33" s="11"/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0</v>
      </c>
      <c r="I34" s="16"/>
      <c r="K34" s="11"/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0</v>
      </c>
      <c r="I35" s="16"/>
      <c r="K35" s="11"/>
    </row>
    <row r="36" customFormat="false" ht="15" hidden="false" customHeight="false" outlineLevel="0" collapsed="false">
      <c r="I36" s="16"/>
      <c r="K36" s="11"/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/>
      <c r="K37" s="11"/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/>
      <c r="K38" s="11"/>
    </row>
    <row r="39" customFormat="false" ht="15" hidden="false" customHeight="false" outlineLevel="0" collapsed="false">
      <c r="D39" s="11"/>
      <c r="F39" s="11" t="n">
        <f aca="false">IF(E39=TRUE(),D39,0)</f>
        <v>0</v>
      </c>
      <c r="I39" s="16"/>
      <c r="K39" s="11"/>
    </row>
    <row r="40" customFormat="false" ht="15" hidden="false" customHeight="false" outlineLevel="0" collapsed="false">
      <c r="D40" s="11"/>
      <c r="F40" s="11" t="n">
        <f aca="false">IF(E40=TRUE(),D40,0)</f>
        <v>0</v>
      </c>
      <c r="I40" s="16"/>
      <c r="K40" s="11"/>
    </row>
    <row r="41" customFormat="false" ht="15" hidden="false" customHeight="false" outlineLevel="0" collapsed="false">
      <c r="D41" s="11"/>
      <c r="F41" s="11" t="n">
        <f aca="false">IF(E41=TRUE(),D41,0)</f>
        <v>0</v>
      </c>
      <c r="I41" s="16"/>
      <c r="K41" s="11"/>
    </row>
    <row r="42" customFormat="false" ht="15" hidden="false" customHeight="false" outlineLevel="0" collapsed="false">
      <c r="D42" s="11"/>
      <c r="F42" s="11" t="n">
        <f aca="false">IF(E42=TRUE(),D42,0)</f>
        <v>0</v>
      </c>
      <c r="I42" s="16"/>
      <c r="K42" s="11"/>
    </row>
    <row r="43" customFormat="false" ht="15" hidden="false" customHeight="false" outlineLevel="0" collapsed="false">
      <c r="D43" s="11"/>
      <c r="F43" s="11" t="n">
        <f aca="false">IF(E43=TRUE(),D43,0)</f>
        <v>0</v>
      </c>
      <c r="I43" s="16"/>
      <c r="K43" s="11"/>
    </row>
    <row r="44" customFormat="false" ht="15" hidden="false" customHeight="false" outlineLevel="0" collapsed="false">
      <c r="D44" s="11"/>
      <c r="F44" s="11" t="n">
        <f aca="false">IF(E44=TRUE(),D44,0)</f>
        <v>0</v>
      </c>
      <c r="I44" s="16"/>
      <c r="K44" s="11"/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/>
      <c r="K45" s="11"/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/>
      <c r="K46" s="11"/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/>
      <c r="K47" s="11"/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/>
      <c r="K48" s="11"/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/>
      <c r="K49" s="11"/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/>
      <c r="K50" s="11"/>
    </row>
    <row r="51" customFormat="false" ht="15" hidden="false" customHeight="false" outlineLevel="0" collapsed="false">
      <c r="I51" s="16"/>
      <c r="K51" s="11"/>
    </row>
    <row r="52" customFormat="false" ht="15" hidden="false" customHeight="false" outlineLevel="0" collapsed="false">
      <c r="I52" s="16"/>
      <c r="K52" s="11"/>
    </row>
    <row r="53" customFormat="false" ht="15" hidden="false" customHeight="false" outlineLevel="0" collapsed="false">
      <c r="B53" s="13" t="s">
        <v>40</v>
      </c>
      <c r="C53" s="13"/>
      <c r="I53" s="16"/>
      <c r="K53" s="11"/>
    </row>
    <row r="54" customFormat="false" ht="15" hidden="false" customHeight="false" outlineLevel="0" collapsed="false">
      <c r="B54" s="14" t="s">
        <v>41</v>
      </c>
      <c r="C54" s="14" t="s">
        <v>19</v>
      </c>
      <c r="I54" s="16"/>
      <c r="K54" s="11"/>
    </row>
    <row r="55" customFormat="false" ht="15" hidden="false" customHeight="false" outlineLevel="0" collapsed="false">
      <c r="C55" s="11"/>
      <c r="I55" s="16"/>
      <c r="K55" s="11"/>
    </row>
    <row r="56" customFormat="false" ht="15" hidden="false" customHeight="false" outlineLevel="0" collapsed="false">
      <c r="C56" s="11"/>
      <c r="I56" s="16"/>
      <c r="K56" s="11"/>
    </row>
    <row r="57" customFormat="false" ht="15" hidden="false" customHeight="false" outlineLevel="0" collapsed="false">
      <c r="C57" s="11"/>
      <c r="I57" s="16"/>
      <c r="K57" s="11"/>
    </row>
    <row r="58" customFormat="false" ht="15" hidden="false" customHeight="false" outlineLevel="0" collapsed="false">
      <c r="C58" s="11"/>
      <c r="I58" s="16"/>
      <c r="K58" s="11"/>
    </row>
    <row r="59" customFormat="false" ht="15" hidden="false" customHeight="false" outlineLevel="0" collapsed="false">
      <c r="C59" s="11"/>
      <c r="I59" s="16"/>
      <c r="K59" s="11"/>
    </row>
    <row r="60" customFormat="false" ht="15" hidden="false" customHeight="false" outlineLevel="0" collapsed="false">
      <c r="I60" s="16"/>
      <c r="K60" s="11"/>
    </row>
    <row r="61" customFormat="false" ht="15" hidden="false" customHeight="false" outlineLevel="0" collapsed="false">
      <c r="I61" s="16"/>
      <c r="K61" s="11"/>
    </row>
    <row r="62" customFormat="false" ht="15" hidden="false" customHeight="false" outlineLevel="0" collapsed="false">
      <c r="I62" s="16"/>
      <c r="K62" s="11"/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71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SUM(IncomeTbl_Jun[Amount])</f>
        <v>0</v>
      </c>
      <c r="C6" s="6"/>
      <c r="D6" s="6" t="n">
        <f aca="false">R6+R7</f>
        <v>0</v>
      </c>
      <c r="E6" s="6"/>
      <c r="F6" s="6" t="n">
        <f aca="false">B6-D6</f>
        <v>0</v>
      </c>
      <c r="G6" s="6"/>
      <c r="H6" s="7" t="n">
        <f aca="false">IFERROR(R8/B6,0)</f>
        <v>0</v>
      </c>
      <c r="I6" s="7"/>
      <c r="J6" s="8" t="str">
        <f aca="false">COUNTIF(BillsTbl_Jun[Paid?],TRUE())&amp;" / "&amp;COUNTA(BillsTbl_Jun[Bill Name])</f>
        <v>0 / 0</v>
      </c>
      <c r="K6" s="8"/>
      <c r="Q6" s="9" t="s">
        <v>9</v>
      </c>
      <c r="R6" s="10" t="n">
        <f aca="false">O31+O27+O25+O29</f>
        <v>0</v>
      </c>
      <c r="T6" s="5" t="s">
        <v>10</v>
      </c>
      <c r="U6" s="11" t="n">
        <f aca="false">C33</f>
        <v>0</v>
      </c>
      <c r="V6" s="11" t="n">
        <f aca="false">R6</f>
        <v>0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0</v>
      </c>
      <c r="T7" s="5" t="s">
        <v>12</v>
      </c>
      <c r="U7" s="11" t="n">
        <f aca="false">C34</f>
        <v>0</v>
      </c>
      <c r="V7" s="11" t="n">
        <f aca="false">R7</f>
        <v>0</v>
      </c>
    </row>
    <row r="8" customFormat="false" ht="15" hidden="false" customHeight="false" outlineLevel="0" collapsed="false">
      <c r="Q8" s="9" t="s">
        <v>13</v>
      </c>
      <c r="R8" s="10" t="n">
        <f aca="false">SUM(SavingsTbl_Jun[Amount])</f>
        <v>0</v>
      </c>
      <c r="T8" s="5" t="s">
        <v>14</v>
      </c>
      <c r="U8" s="11" t="n">
        <f aca="false">C35</f>
        <v>0</v>
      </c>
      <c r="V8" s="11" t="n">
        <f aca="false">R8</f>
        <v>0</v>
      </c>
    </row>
    <row r="9" customFormat="false" ht="15" hidden="false" customHeight="false" outlineLevel="0" collapsed="false">
      <c r="Q9" s="9" t="s">
        <v>2</v>
      </c>
      <c r="R9" s="12" t="n">
        <f aca="false">R6+R7</f>
        <v>0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C24" s="11"/>
      <c r="I24" s="16"/>
      <c r="K24" s="11"/>
      <c r="N24" s="17" t="s">
        <v>24</v>
      </c>
      <c r="O24" s="18" t="n">
        <f aca="false">SUMIFS(BillsTbl_Jun[Actual],BillsTbl_Jun[Category],"Subscriptions")+SUMIFS(TxnTbl_Jun[Amount],TxnTbl_Jun[Category],"Subscriptions")</f>
        <v>0</v>
      </c>
    </row>
    <row r="25" customFormat="false" ht="15" hidden="false" customHeight="false" outlineLevel="0" collapsed="false">
      <c r="C25" s="11"/>
      <c r="I25" s="16"/>
      <c r="K25" s="11"/>
      <c r="N25" s="17" t="s">
        <v>25</v>
      </c>
      <c r="O25" s="18" t="n">
        <f aca="false">SUMIFS(BillsTbl_Jun[Actual],BillsTbl_Jun[Category],"Gas")+SUMIFS(TxnTbl_Jun[Amount],TxnTbl_Jun[Category],"Gas")</f>
        <v>0</v>
      </c>
    </row>
    <row r="26" customFormat="false" ht="15" hidden="false" customHeight="false" outlineLevel="0" collapsed="false">
      <c r="C26" s="11"/>
      <c r="I26" s="16"/>
      <c r="K26" s="11"/>
      <c r="N26" s="17" t="s">
        <v>26</v>
      </c>
      <c r="O26" s="18" t="n">
        <f aca="false">SUMIFS(BillsTbl_Jun[Actual],BillsTbl_Jun[Category],"Other")+SUMIFS(TxnTbl_Jun[Amount],TxnTbl_Jun[Category],"Other")</f>
        <v>0</v>
      </c>
    </row>
    <row r="27" customFormat="false" ht="15" hidden="false" customHeight="false" outlineLevel="0" collapsed="false">
      <c r="C27" s="11"/>
      <c r="I27" s="16"/>
      <c r="K27" s="11"/>
      <c r="N27" s="17" t="s">
        <v>27</v>
      </c>
      <c r="O27" s="18" t="n">
        <f aca="false">SUMIFS(BillsTbl_Jun[Actual],BillsTbl_Jun[Category],"Groceries")+SUMIFS(TxnTbl_Jun[Amount],TxnTbl_Jun[Category],"Groceries")</f>
        <v>0</v>
      </c>
    </row>
    <row r="28" customFormat="false" ht="15" hidden="false" customHeight="false" outlineLevel="0" collapsed="false">
      <c r="C28" s="11"/>
      <c r="I28" s="16"/>
      <c r="K28" s="11"/>
      <c r="N28" s="17" t="s">
        <v>28</v>
      </c>
      <c r="O28" s="18" t="n">
        <f aca="false">SUMIFS(BillsTbl_Jun[Actual],BillsTbl_Jun[Category],"Dining out")+SUMIFS(TxnTbl_Jun[Amount],TxnTbl_Jun[Category],"Dining out")</f>
        <v>0</v>
      </c>
    </row>
    <row r="29" customFormat="false" ht="15" hidden="false" customHeight="false" outlineLevel="0" collapsed="false">
      <c r="C29" s="11"/>
      <c r="I29" s="16"/>
      <c r="K29" s="11"/>
      <c r="N29" s="17" t="s">
        <v>29</v>
      </c>
      <c r="O29" s="18" t="n">
        <f aca="false">SUMIFS(BillsTbl_Jun[Actual],BillsTbl_Jun[Category],"Rent")+SUMIFS(TxnTbl_Jun[Amount],TxnTbl_Jun[Category],"Rent")</f>
        <v>0</v>
      </c>
    </row>
    <row r="30" customFormat="false" ht="15" hidden="false" customHeight="false" outlineLevel="0" collapsed="false">
      <c r="I30" s="16"/>
      <c r="K30" s="11"/>
      <c r="N30" s="17" t="s">
        <v>30</v>
      </c>
      <c r="O30" s="18" t="n">
        <f aca="false">SUMIFS(BillsTbl_Jun[Actual],BillsTbl_Jun[Category],"Shopping")+SUMIFS(TxnTbl_Jun[Amount],TxnTbl_Jun[Category],"Shopping")</f>
        <v>0</v>
      </c>
    </row>
    <row r="31" customFormat="false" ht="15" hidden="false" customHeight="false" outlineLevel="0" collapsed="false">
      <c r="I31" s="16"/>
      <c r="K31" s="11"/>
      <c r="N31" s="17" t="s">
        <v>31</v>
      </c>
      <c r="O31" s="18" t="n">
        <f aca="false">SUMIFS(BillsTbl_Jun[Actual],BillsTbl_Jun[Category],"Credit Card")+SUMIFS(TxnTbl_Jun[Amount],TxnTbl_Jun[Category],"Credit Card")</f>
        <v>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/>
      <c r="K32" s="11"/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0</v>
      </c>
      <c r="I33" s="16"/>
      <c r="K33" s="11"/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0</v>
      </c>
      <c r="I34" s="16"/>
      <c r="K34" s="11"/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0</v>
      </c>
      <c r="I35" s="16"/>
      <c r="K35" s="11"/>
    </row>
    <row r="36" customFormat="false" ht="15" hidden="false" customHeight="false" outlineLevel="0" collapsed="false">
      <c r="I36" s="16"/>
      <c r="K36" s="11"/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/>
      <c r="K37" s="11"/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/>
      <c r="K38" s="11"/>
    </row>
    <row r="39" customFormat="false" ht="15" hidden="false" customHeight="false" outlineLevel="0" collapsed="false">
      <c r="D39" s="11"/>
      <c r="F39" s="11" t="n">
        <f aca="false">IF(E39=TRUE(),D39,0)</f>
        <v>0</v>
      </c>
      <c r="I39" s="16"/>
      <c r="K39" s="11"/>
    </row>
    <row r="40" customFormat="false" ht="15" hidden="false" customHeight="false" outlineLevel="0" collapsed="false">
      <c r="D40" s="11"/>
      <c r="F40" s="11" t="n">
        <f aca="false">IF(E40=TRUE(),D40,0)</f>
        <v>0</v>
      </c>
      <c r="I40" s="16"/>
      <c r="K40" s="11"/>
    </row>
    <row r="41" customFormat="false" ht="15" hidden="false" customHeight="false" outlineLevel="0" collapsed="false">
      <c r="D41" s="11"/>
      <c r="F41" s="11" t="n">
        <f aca="false">IF(E41=TRUE(),D41,0)</f>
        <v>0</v>
      </c>
      <c r="I41" s="16"/>
      <c r="K41" s="11"/>
    </row>
    <row r="42" customFormat="false" ht="15" hidden="false" customHeight="false" outlineLevel="0" collapsed="false">
      <c r="D42" s="11"/>
      <c r="F42" s="11" t="n">
        <f aca="false">IF(E42=TRUE(),D42,0)</f>
        <v>0</v>
      </c>
      <c r="I42" s="16"/>
      <c r="K42" s="11"/>
    </row>
    <row r="43" customFormat="false" ht="15" hidden="false" customHeight="false" outlineLevel="0" collapsed="false">
      <c r="D43" s="11"/>
      <c r="F43" s="11" t="n">
        <f aca="false">IF(E43=TRUE(),D43,0)</f>
        <v>0</v>
      </c>
      <c r="I43" s="16"/>
      <c r="K43" s="11"/>
    </row>
    <row r="44" customFormat="false" ht="15" hidden="false" customHeight="false" outlineLevel="0" collapsed="false">
      <c r="D44" s="11"/>
      <c r="F44" s="11" t="n">
        <f aca="false">IF(E44=TRUE(),D44,0)</f>
        <v>0</v>
      </c>
      <c r="I44" s="16"/>
      <c r="K44" s="11"/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/>
      <c r="K45" s="11"/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/>
      <c r="K46" s="11"/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/>
      <c r="K47" s="11"/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/>
      <c r="K48" s="11"/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/>
      <c r="K49" s="11"/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/>
      <c r="K50" s="11"/>
    </row>
    <row r="51" customFormat="false" ht="15" hidden="false" customHeight="false" outlineLevel="0" collapsed="false">
      <c r="I51" s="16"/>
      <c r="K51" s="11"/>
    </row>
    <row r="52" customFormat="false" ht="15" hidden="false" customHeight="false" outlineLevel="0" collapsed="false">
      <c r="I52" s="16"/>
      <c r="K52" s="11"/>
    </row>
    <row r="53" customFormat="false" ht="15" hidden="false" customHeight="false" outlineLevel="0" collapsed="false">
      <c r="B53" s="13" t="s">
        <v>40</v>
      </c>
      <c r="C53" s="13"/>
      <c r="I53" s="16"/>
      <c r="K53" s="11"/>
    </row>
    <row r="54" customFormat="false" ht="15" hidden="false" customHeight="false" outlineLevel="0" collapsed="false">
      <c r="B54" s="14" t="s">
        <v>41</v>
      </c>
      <c r="C54" s="14" t="s">
        <v>19</v>
      </c>
      <c r="I54" s="16"/>
      <c r="K54" s="11"/>
    </row>
    <row r="55" customFormat="false" ht="15" hidden="false" customHeight="false" outlineLevel="0" collapsed="false">
      <c r="C55" s="11"/>
      <c r="I55" s="16"/>
      <c r="K55" s="11"/>
    </row>
    <row r="56" customFormat="false" ht="15" hidden="false" customHeight="false" outlineLevel="0" collapsed="false">
      <c r="C56" s="11"/>
      <c r="I56" s="16"/>
      <c r="K56" s="11"/>
    </row>
    <row r="57" customFormat="false" ht="15" hidden="false" customHeight="false" outlineLevel="0" collapsed="false">
      <c r="C57" s="11"/>
      <c r="I57" s="16"/>
      <c r="K57" s="11"/>
    </row>
    <row r="58" customFormat="false" ht="15" hidden="false" customHeight="false" outlineLevel="0" collapsed="false">
      <c r="C58" s="11"/>
      <c r="I58" s="16"/>
      <c r="K58" s="11"/>
    </row>
    <row r="59" customFormat="false" ht="15" hidden="false" customHeight="false" outlineLevel="0" collapsed="false">
      <c r="C59" s="11"/>
      <c r="I59" s="16"/>
      <c r="K59" s="11"/>
    </row>
    <row r="60" customFormat="false" ht="15" hidden="false" customHeight="false" outlineLevel="0" collapsed="false">
      <c r="I60" s="16"/>
      <c r="K60" s="11"/>
    </row>
    <row r="61" customFormat="false" ht="15" hidden="false" customHeight="false" outlineLevel="0" collapsed="false">
      <c r="I61" s="16"/>
      <c r="K61" s="11"/>
    </row>
    <row r="62" customFormat="false" ht="15" hidden="false" customHeight="false" outlineLevel="0" collapsed="false">
      <c r="I62" s="16"/>
      <c r="K62" s="11"/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72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SUM(IncomeTbl_Jul[Amount])</f>
        <v>0</v>
      </c>
      <c r="C6" s="6"/>
      <c r="D6" s="6" t="n">
        <f aca="false">R6+R7</f>
        <v>0</v>
      </c>
      <c r="E6" s="6"/>
      <c r="F6" s="6" t="n">
        <f aca="false">B6-D6</f>
        <v>0</v>
      </c>
      <c r="G6" s="6"/>
      <c r="H6" s="7" t="n">
        <f aca="false">IFERROR(R8/B6,0)</f>
        <v>0</v>
      </c>
      <c r="I6" s="7"/>
      <c r="J6" s="8" t="str">
        <f aca="false">COUNTIF(BillsTbl_Jul[Paid?],TRUE())&amp;" / "&amp;COUNTA(BillsTbl_Jul[Bill Name])</f>
        <v>0 / 0</v>
      </c>
      <c r="K6" s="8"/>
      <c r="Q6" s="9" t="s">
        <v>9</v>
      </c>
      <c r="R6" s="10" t="n">
        <f aca="false">O31+O27+O25+O29</f>
        <v>0</v>
      </c>
      <c r="T6" s="5" t="s">
        <v>10</v>
      </c>
      <c r="U6" s="11" t="n">
        <f aca="false">C33</f>
        <v>0</v>
      </c>
      <c r="V6" s="11" t="n">
        <f aca="false">R6</f>
        <v>0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0</v>
      </c>
      <c r="T7" s="5" t="s">
        <v>12</v>
      </c>
      <c r="U7" s="11" t="n">
        <f aca="false">C34</f>
        <v>0</v>
      </c>
      <c r="V7" s="11" t="n">
        <f aca="false">R7</f>
        <v>0</v>
      </c>
    </row>
    <row r="8" customFormat="false" ht="15" hidden="false" customHeight="false" outlineLevel="0" collapsed="false">
      <c r="Q8" s="9" t="s">
        <v>13</v>
      </c>
      <c r="R8" s="10" t="n">
        <f aca="false">SUM(SavingsTbl_Jul[Amount])</f>
        <v>0</v>
      </c>
      <c r="T8" s="5" t="s">
        <v>14</v>
      </c>
      <c r="U8" s="11" t="n">
        <f aca="false">C35</f>
        <v>0</v>
      </c>
      <c r="V8" s="11" t="n">
        <f aca="false">R8</f>
        <v>0</v>
      </c>
    </row>
    <row r="9" customFormat="false" ht="15" hidden="false" customHeight="false" outlineLevel="0" collapsed="false">
      <c r="Q9" s="9" t="s">
        <v>2</v>
      </c>
      <c r="R9" s="12" t="n">
        <f aca="false">R6+R7</f>
        <v>0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C24" s="11"/>
      <c r="I24" s="16"/>
      <c r="K24" s="11"/>
      <c r="N24" s="17" t="s">
        <v>24</v>
      </c>
      <c r="O24" s="18" t="n">
        <f aca="false">SUMIFS(BillsTbl_Jul[Actual],BillsTbl_Jul[Category],"Subscriptions")+SUMIFS(TxnTbl_Jul[Amount],TxnTbl_Jul[Category],"Subscriptions")</f>
        <v>0</v>
      </c>
    </row>
    <row r="25" customFormat="false" ht="15" hidden="false" customHeight="false" outlineLevel="0" collapsed="false">
      <c r="C25" s="11"/>
      <c r="I25" s="16"/>
      <c r="K25" s="11"/>
      <c r="N25" s="17" t="s">
        <v>25</v>
      </c>
      <c r="O25" s="18" t="n">
        <f aca="false">SUMIFS(BillsTbl_Jul[Actual],BillsTbl_Jul[Category],"Gas")+SUMIFS(TxnTbl_Jul[Amount],TxnTbl_Jul[Category],"Gas")</f>
        <v>0</v>
      </c>
    </row>
    <row r="26" customFormat="false" ht="15" hidden="false" customHeight="false" outlineLevel="0" collapsed="false">
      <c r="C26" s="11"/>
      <c r="I26" s="16"/>
      <c r="K26" s="11"/>
      <c r="N26" s="17" t="s">
        <v>26</v>
      </c>
      <c r="O26" s="18" t="n">
        <f aca="false">SUMIFS(BillsTbl_Jul[Actual],BillsTbl_Jul[Category],"Other")+SUMIFS(TxnTbl_Jul[Amount],TxnTbl_Jul[Category],"Other")</f>
        <v>0</v>
      </c>
    </row>
    <row r="27" customFormat="false" ht="15" hidden="false" customHeight="false" outlineLevel="0" collapsed="false">
      <c r="C27" s="11"/>
      <c r="I27" s="16"/>
      <c r="K27" s="11"/>
      <c r="N27" s="17" t="s">
        <v>27</v>
      </c>
      <c r="O27" s="18" t="n">
        <f aca="false">SUMIFS(BillsTbl_Jul[Actual],BillsTbl_Jul[Category],"Groceries")+SUMIFS(TxnTbl_Jul[Amount],TxnTbl_Jul[Category],"Groceries")</f>
        <v>0</v>
      </c>
    </row>
    <row r="28" customFormat="false" ht="15" hidden="false" customHeight="false" outlineLevel="0" collapsed="false">
      <c r="C28" s="11"/>
      <c r="I28" s="16"/>
      <c r="K28" s="11"/>
      <c r="N28" s="17" t="s">
        <v>28</v>
      </c>
      <c r="O28" s="18" t="n">
        <f aca="false">SUMIFS(BillsTbl_Jul[Actual],BillsTbl_Jul[Category],"Dining out")+SUMIFS(TxnTbl_Jul[Amount],TxnTbl_Jul[Category],"Dining out")</f>
        <v>0</v>
      </c>
    </row>
    <row r="29" customFormat="false" ht="15" hidden="false" customHeight="false" outlineLevel="0" collapsed="false">
      <c r="C29" s="11"/>
      <c r="I29" s="16"/>
      <c r="K29" s="11"/>
      <c r="N29" s="17" t="s">
        <v>29</v>
      </c>
      <c r="O29" s="18" t="n">
        <f aca="false">SUMIFS(BillsTbl_Jul[Actual],BillsTbl_Jul[Category],"Rent")+SUMIFS(TxnTbl_Jul[Amount],TxnTbl_Jul[Category],"Rent")</f>
        <v>0</v>
      </c>
    </row>
    <row r="30" customFormat="false" ht="15" hidden="false" customHeight="false" outlineLevel="0" collapsed="false">
      <c r="I30" s="16"/>
      <c r="K30" s="11"/>
      <c r="N30" s="17" t="s">
        <v>30</v>
      </c>
      <c r="O30" s="18" t="n">
        <f aca="false">SUMIFS(BillsTbl_Jul[Actual],BillsTbl_Jul[Category],"Shopping")+SUMIFS(TxnTbl_Jul[Amount],TxnTbl_Jul[Category],"Shopping")</f>
        <v>0</v>
      </c>
    </row>
    <row r="31" customFormat="false" ht="15" hidden="false" customHeight="false" outlineLevel="0" collapsed="false">
      <c r="I31" s="16"/>
      <c r="K31" s="11"/>
      <c r="N31" s="17" t="s">
        <v>31</v>
      </c>
      <c r="O31" s="18" t="n">
        <f aca="false">SUMIFS(BillsTbl_Jul[Actual],BillsTbl_Jul[Category],"Credit Card")+SUMIFS(TxnTbl_Jul[Amount],TxnTbl_Jul[Category],"Credit Card")</f>
        <v>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/>
      <c r="K32" s="11"/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0</v>
      </c>
      <c r="I33" s="16"/>
      <c r="K33" s="11"/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0</v>
      </c>
      <c r="I34" s="16"/>
      <c r="K34" s="11"/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0</v>
      </c>
      <c r="I35" s="16"/>
      <c r="K35" s="11"/>
    </row>
    <row r="36" customFormat="false" ht="15" hidden="false" customHeight="false" outlineLevel="0" collapsed="false">
      <c r="I36" s="16"/>
      <c r="K36" s="11"/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/>
      <c r="K37" s="11"/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/>
      <c r="K38" s="11"/>
    </row>
    <row r="39" customFormat="false" ht="15" hidden="false" customHeight="false" outlineLevel="0" collapsed="false">
      <c r="D39" s="11"/>
      <c r="F39" s="11" t="n">
        <f aca="false">IF(E39=TRUE(),D39,0)</f>
        <v>0</v>
      </c>
      <c r="I39" s="16"/>
      <c r="K39" s="11"/>
    </row>
    <row r="40" customFormat="false" ht="15" hidden="false" customHeight="false" outlineLevel="0" collapsed="false">
      <c r="D40" s="11"/>
      <c r="F40" s="11" t="n">
        <f aca="false">IF(E40=TRUE(),D40,0)</f>
        <v>0</v>
      </c>
      <c r="I40" s="16"/>
      <c r="K40" s="11"/>
    </row>
    <row r="41" customFormat="false" ht="15" hidden="false" customHeight="false" outlineLevel="0" collapsed="false">
      <c r="D41" s="11"/>
      <c r="F41" s="11" t="n">
        <f aca="false">IF(E41=TRUE(),D41,0)</f>
        <v>0</v>
      </c>
      <c r="I41" s="16"/>
      <c r="K41" s="11"/>
    </row>
    <row r="42" customFormat="false" ht="15" hidden="false" customHeight="false" outlineLevel="0" collapsed="false">
      <c r="D42" s="11"/>
      <c r="F42" s="11" t="n">
        <f aca="false">IF(E42=TRUE(),D42,0)</f>
        <v>0</v>
      </c>
      <c r="I42" s="16"/>
      <c r="K42" s="11"/>
    </row>
    <row r="43" customFormat="false" ht="15" hidden="false" customHeight="false" outlineLevel="0" collapsed="false">
      <c r="D43" s="11"/>
      <c r="F43" s="11" t="n">
        <f aca="false">IF(E43=TRUE(),D43,0)</f>
        <v>0</v>
      </c>
      <c r="I43" s="16"/>
      <c r="K43" s="11"/>
    </row>
    <row r="44" customFormat="false" ht="15" hidden="false" customHeight="false" outlineLevel="0" collapsed="false">
      <c r="D44" s="11"/>
      <c r="F44" s="11" t="n">
        <f aca="false">IF(E44=TRUE(),D44,0)</f>
        <v>0</v>
      </c>
      <c r="I44" s="16"/>
      <c r="K44" s="11"/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/>
      <c r="K45" s="11"/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/>
      <c r="K46" s="11"/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/>
      <c r="K47" s="11"/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/>
      <c r="K48" s="11"/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/>
      <c r="K49" s="11"/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/>
      <c r="K50" s="11"/>
    </row>
    <row r="51" customFormat="false" ht="15" hidden="false" customHeight="false" outlineLevel="0" collapsed="false">
      <c r="I51" s="16"/>
      <c r="K51" s="11"/>
    </row>
    <row r="52" customFormat="false" ht="15" hidden="false" customHeight="false" outlineLevel="0" collapsed="false">
      <c r="I52" s="16"/>
      <c r="K52" s="11"/>
    </row>
    <row r="53" customFormat="false" ht="15" hidden="false" customHeight="false" outlineLevel="0" collapsed="false">
      <c r="B53" s="13" t="s">
        <v>40</v>
      </c>
      <c r="C53" s="13"/>
      <c r="I53" s="16"/>
      <c r="K53" s="11"/>
    </row>
    <row r="54" customFormat="false" ht="15" hidden="false" customHeight="false" outlineLevel="0" collapsed="false">
      <c r="B54" s="14" t="s">
        <v>41</v>
      </c>
      <c r="C54" s="14" t="s">
        <v>19</v>
      </c>
      <c r="I54" s="16"/>
      <c r="K54" s="11"/>
    </row>
    <row r="55" customFormat="false" ht="15" hidden="false" customHeight="false" outlineLevel="0" collapsed="false">
      <c r="C55" s="11"/>
      <c r="I55" s="16"/>
      <c r="K55" s="11"/>
    </row>
    <row r="56" customFormat="false" ht="15" hidden="false" customHeight="false" outlineLevel="0" collapsed="false">
      <c r="C56" s="11"/>
      <c r="I56" s="16"/>
      <c r="K56" s="11"/>
    </row>
    <row r="57" customFormat="false" ht="15" hidden="false" customHeight="false" outlineLevel="0" collapsed="false">
      <c r="C57" s="11"/>
      <c r="I57" s="16"/>
      <c r="K57" s="11"/>
    </row>
    <row r="58" customFormat="false" ht="15" hidden="false" customHeight="false" outlineLevel="0" collapsed="false">
      <c r="C58" s="11"/>
      <c r="I58" s="16"/>
      <c r="K58" s="11"/>
    </row>
    <row r="59" customFormat="false" ht="15" hidden="false" customHeight="false" outlineLevel="0" collapsed="false">
      <c r="C59" s="11"/>
      <c r="I59" s="16"/>
      <c r="K59" s="11"/>
    </row>
    <row r="60" customFormat="false" ht="15" hidden="false" customHeight="false" outlineLevel="0" collapsed="false">
      <c r="I60" s="16"/>
      <c r="K60" s="11"/>
    </row>
    <row r="61" customFormat="false" ht="15" hidden="false" customHeight="false" outlineLevel="0" collapsed="false">
      <c r="I61" s="16"/>
      <c r="K61" s="11"/>
    </row>
    <row r="62" customFormat="false" ht="15" hidden="false" customHeight="false" outlineLevel="0" collapsed="false">
      <c r="I62" s="16"/>
      <c r="K62" s="11"/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73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SUM(IncomeTbl_Aug[Amount])</f>
        <v>2654.27</v>
      </c>
      <c r="C6" s="6"/>
      <c r="D6" s="6" t="n">
        <f aca="false">R6+R7</f>
        <v>1937.27</v>
      </c>
      <c r="E6" s="6"/>
      <c r="F6" s="6" t="n">
        <f aca="false">B6-D6</f>
        <v>717</v>
      </c>
      <c r="G6" s="6"/>
      <c r="H6" s="7" t="n">
        <f aca="false">IFERROR(R8/B6,0)</f>
        <v>0.255305601916911</v>
      </c>
      <c r="I6" s="7"/>
      <c r="J6" s="8" t="str">
        <f aca="false">COUNTIF(BillsTbl_Aug[Paid?],TRUE())&amp;" / "&amp;COUNTA(BillsTbl_Aug[Bill Name])</f>
        <v>6 / 6</v>
      </c>
      <c r="K6" s="8"/>
      <c r="Q6" s="9" t="s">
        <v>9</v>
      </c>
      <c r="R6" s="10" t="n">
        <f aca="false">O31+O27+O25+O29</f>
        <v>981.61</v>
      </c>
      <c r="T6" s="5" t="s">
        <v>10</v>
      </c>
      <c r="U6" s="11" t="n">
        <f aca="false">C33</f>
        <v>1327.135</v>
      </c>
      <c r="V6" s="11" t="n">
        <f aca="false">R6</f>
        <v>981.61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955.66</v>
      </c>
      <c r="T7" s="5" t="s">
        <v>12</v>
      </c>
      <c r="U7" s="11" t="n">
        <f aca="false">C34</f>
        <v>796.281</v>
      </c>
      <c r="V7" s="11" t="n">
        <f aca="false">R7</f>
        <v>955.66</v>
      </c>
    </row>
    <row r="8" customFormat="false" ht="15" hidden="false" customHeight="false" outlineLevel="0" collapsed="false">
      <c r="Q8" s="9" t="s">
        <v>13</v>
      </c>
      <c r="R8" s="10" t="n">
        <f aca="false">SUM(SavingsTbl_Aug[Amount])</f>
        <v>677.65</v>
      </c>
      <c r="T8" s="5" t="s">
        <v>14</v>
      </c>
      <c r="U8" s="11" t="n">
        <f aca="false">C35</f>
        <v>530.854</v>
      </c>
      <c r="V8" s="11" t="n">
        <f aca="false">R8</f>
        <v>677.65</v>
      </c>
    </row>
    <row r="9" customFormat="false" ht="15" hidden="false" customHeight="false" outlineLevel="0" collapsed="false">
      <c r="Q9" s="9" t="s">
        <v>2</v>
      </c>
      <c r="R9" s="12" t="n">
        <f aca="false">R6+R7</f>
        <v>1937.27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B24" s="5" t="s">
        <v>74</v>
      </c>
      <c r="C24" s="11" t="n">
        <v>1243.06</v>
      </c>
      <c r="I24" s="16" t="n">
        <v>45871</v>
      </c>
      <c r="J24" s="14" t="s">
        <v>26</v>
      </c>
      <c r="K24" s="11" t="n">
        <v>4.95</v>
      </c>
      <c r="N24" s="17" t="s">
        <v>24</v>
      </c>
      <c r="O24" s="18" t="n">
        <f aca="false">SUMIFS(BillsTbl_Aug[Actual],BillsTbl_Aug[Category],"Subscriptions")+SUMIFS(TxnTbl_Aug[Amount],TxnTbl_Aug[Category],"Subscriptions")</f>
        <v>57.31</v>
      </c>
    </row>
    <row r="25" customFormat="false" ht="15" hidden="false" customHeight="false" outlineLevel="0" collapsed="false">
      <c r="B25" s="5" t="s">
        <v>75</v>
      </c>
      <c r="C25" s="11" t="n">
        <v>1276.72</v>
      </c>
      <c r="I25" s="16" t="n">
        <v>45872</v>
      </c>
      <c r="J25" s="14" t="s">
        <v>28</v>
      </c>
      <c r="K25" s="11" t="n">
        <v>5.11</v>
      </c>
      <c r="N25" s="17" t="s">
        <v>25</v>
      </c>
      <c r="O25" s="18" t="n">
        <f aca="false">SUMIFS(BillsTbl_Aug[Actual],BillsTbl_Aug[Category],"Gas")+SUMIFS(TxnTbl_Aug[Amount],TxnTbl_Aug[Category],"Gas")</f>
        <v>61.61</v>
      </c>
    </row>
    <row r="26" customFormat="false" ht="15" hidden="false" customHeight="false" outlineLevel="0" collapsed="false">
      <c r="B26" s="5" t="s">
        <v>76</v>
      </c>
      <c r="C26" s="11" t="n">
        <v>66.49</v>
      </c>
      <c r="I26" s="16" t="n">
        <v>45875</v>
      </c>
      <c r="J26" s="14" t="s">
        <v>25</v>
      </c>
      <c r="K26" s="11" t="n">
        <v>21.36</v>
      </c>
      <c r="N26" s="17" t="s">
        <v>26</v>
      </c>
      <c r="O26" s="18" t="n">
        <f aca="false">SUMIFS(BillsTbl_Aug[Actual],BillsTbl_Aug[Category],"Other")+SUMIFS(TxnTbl_Aug[Amount],TxnTbl_Aug[Category],"Other")</f>
        <v>482.41</v>
      </c>
    </row>
    <row r="27" customFormat="false" ht="15" hidden="false" customHeight="false" outlineLevel="0" collapsed="false">
      <c r="B27" s="5" t="s">
        <v>77</v>
      </c>
      <c r="C27" s="11" t="n">
        <v>68</v>
      </c>
      <c r="I27" s="16" t="n">
        <v>45876</v>
      </c>
      <c r="J27" s="14" t="s">
        <v>30</v>
      </c>
      <c r="K27" s="11" t="n">
        <v>103.92</v>
      </c>
      <c r="L27" s="5" t="s">
        <v>78</v>
      </c>
      <c r="N27" s="17" t="s">
        <v>27</v>
      </c>
      <c r="O27" s="18" t="n">
        <f aca="false">SUMIFS(BillsTbl_Aug[Actual],BillsTbl_Aug[Category],"Groceries")+SUMIFS(TxnTbl_Aug[Amount],TxnTbl_Aug[Category],"Groceries")</f>
        <v>70</v>
      </c>
    </row>
    <row r="28" customFormat="false" ht="15" hidden="false" customHeight="false" outlineLevel="0" collapsed="false">
      <c r="C28" s="11"/>
      <c r="I28" s="16" t="n">
        <v>45876</v>
      </c>
      <c r="J28" s="14" t="s">
        <v>28</v>
      </c>
      <c r="K28" s="11" t="n">
        <v>13.63</v>
      </c>
      <c r="L28" s="5" t="s">
        <v>79</v>
      </c>
      <c r="N28" s="17" t="s">
        <v>28</v>
      </c>
      <c r="O28" s="18" t="n">
        <f aca="false">SUMIFS(BillsTbl_Aug[Actual],BillsTbl_Aug[Category],"Dining out")+SUMIFS(TxnTbl_Aug[Amount],TxnTbl_Aug[Category],"Dining out")</f>
        <v>168.91</v>
      </c>
    </row>
    <row r="29" customFormat="false" ht="15" hidden="false" customHeight="false" outlineLevel="0" collapsed="false">
      <c r="C29" s="11"/>
      <c r="I29" s="16" t="n">
        <v>45877</v>
      </c>
      <c r="J29" s="14" t="s">
        <v>26</v>
      </c>
      <c r="K29" s="11" t="n">
        <v>5.39</v>
      </c>
      <c r="N29" s="17" t="s">
        <v>29</v>
      </c>
      <c r="O29" s="18" t="n">
        <f aca="false">SUMIFS(BillsTbl_Aug[Actual],BillsTbl_Aug[Category],"Rent")+SUMIFS(TxnTbl_Aug[Amount],TxnTbl_Aug[Category],"Rent")</f>
        <v>650</v>
      </c>
    </row>
    <row r="30" customFormat="false" ht="15" hidden="false" customHeight="false" outlineLevel="0" collapsed="false">
      <c r="I30" s="16" t="n">
        <v>45877</v>
      </c>
      <c r="J30" s="14" t="s">
        <v>28</v>
      </c>
      <c r="K30" s="11" t="n">
        <v>10</v>
      </c>
      <c r="L30" s="5" t="s">
        <v>80</v>
      </c>
      <c r="N30" s="17" t="s">
        <v>30</v>
      </c>
      <c r="O30" s="18" t="n">
        <f aca="false">SUMIFS(BillsTbl_Aug[Actual],BillsTbl_Aug[Category],"Shopping")+SUMIFS(TxnTbl_Aug[Amount],TxnTbl_Aug[Category],"Shopping")</f>
        <v>247.03</v>
      </c>
    </row>
    <row r="31" customFormat="false" ht="15" hidden="false" customHeight="false" outlineLevel="0" collapsed="false">
      <c r="I31" s="16" t="n">
        <v>45877</v>
      </c>
      <c r="J31" s="14" t="s">
        <v>28</v>
      </c>
      <c r="K31" s="11" t="n">
        <v>8.66</v>
      </c>
      <c r="L31" s="5" t="s">
        <v>81</v>
      </c>
      <c r="N31" s="17" t="s">
        <v>31</v>
      </c>
      <c r="O31" s="18" t="n">
        <f aca="false">SUMIFS(BillsTbl_Aug[Actual],BillsTbl_Aug[Category],"Credit Card")+SUMIFS(TxnTbl_Aug[Amount],TxnTbl_Aug[Category],"Credit Card")</f>
        <v>200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 t="n">
        <v>45878</v>
      </c>
      <c r="J32" s="14" t="s">
        <v>28</v>
      </c>
      <c r="K32" s="11" t="n">
        <v>2.61</v>
      </c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1327.135</v>
      </c>
      <c r="I33" s="16" t="n">
        <v>45879</v>
      </c>
      <c r="J33" s="14" t="s">
        <v>26</v>
      </c>
      <c r="K33" s="11" t="n">
        <v>10.81</v>
      </c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796.281</v>
      </c>
      <c r="I34" s="16" t="n">
        <v>45880</v>
      </c>
      <c r="J34" s="14" t="s">
        <v>28</v>
      </c>
      <c r="K34" s="11" t="n">
        <v>1.46</v>
      </c>
      <c r="L34" s="5" t="s">
        <v>82</v>
      </c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530.854</v>
      </c>
      <c r="I35" s="16" t="n">
        <v>45880</v>
      </c>
      <c r="J35" s="14" t="s">
        <v>28</v>
      </c>
      <c r="K35" s="11" t="n">
        <v>6.23</v>
      </c>
      <c r="L35" s="5" t="s">
        <v>83</v>
      </c>
    </row>
    <row r="36" customFormat="false" ht="15" hidden="false" customHeight="false" outlineLevel="0" collapsed="false">
      <c r="I36" s="16" t="n">
        <v>45883</v>
      </c>
      <c r="J36" s="14" t="s">
        <v>28</v>
      </c>
      <c r="K36" s="11" t="n">
        <v>9.16</v>
      </c>
      <c r="L36" s="5" t="s">
        <v>84</v>
      </c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 t="n">
        <v>45884</v>
      </c>
      <c r="J37" s="14" t="s">
        <v>26</v>
      </c>
      <c r="K37" s="11" t="n">
        <v>15</v>
      </c>
      <c r="L37" s="5" t="s">
        <v>85</v>
      </c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 t="n">
        <v>45886</v>
      </c>
      <c r="J38" s="14" t="s">
        <v>28</v>
      </c>
      <c r="K38" s="11" t="n">
        <v>5.41</v>
      </c>
      <c r="L38" s="5" t="s">
        <v>86</v>
      </c>
    </row>
    <row r="39" customFormat="false" ht="15" hidden="false" customHeight="false" outlineLevel="0" collapsed="false">
      <c r="B39" s="5" t="s">
        <v>29</v>
      </c>
      <c r="C39" s="14" t="s">
        <v>29</v>
      </c>
      <c r="D39" s="11" t="n">
        <v>650</v>
      </c>
      <c r="E39" s="40" t="b">
        <f aca="false">TRUE()</f>
        <v>1</v>
      </c>
      <c r="F39" s="11" t="n">
        <f aca="false">IF(E39=TRUE(),D39,0)</f>
        <v>650</v>
      </c>
      <c r="I39" s="16" t="n">
        <v>45888</v>
      </c>
      <c r="J39" s="14" t="s">
        <v>25</v>
      </c>
      <c r="K39" s="11" t="n">
        <v>10</v>
      </c>
    </row>
    <row r="40" customFormat="false" ht="15" hidden="false" customHeight="false" outlineLevel="0" collapsed="false">
      <c r="B40" s="5" t="s">
        <v>87</v>
      </c>
      <c r="C40" s="14" t="s">
        <v>31</v>
      </c>
      <c r="D40" s="11" t="n">
        <v>200</v>
      </c>
      <c r="E40" s="40" t="b">
        <f aca="false">TRUE()</f>
        <v>1</v>
      </c>
      <c r="F40" s="11" t="n">
        <f aca="false">IF(E40=TRUE(),D40,0)</f>
        <v>200</v>
      </c>
      <c r="I40" s="16" t="n">
        <v>45889</v>
      </c>
      <c r="J40" s="14" t="s">
        <v>27</v>
      </c>
      <c r="K40" s="11" t="n">
        <v>70</v>
      </c>
      <c r="L40" s="5" t="s">
        <v>88</v>
      </c>
    </row>
    <row r="41" customFormat="false" ht="15" hidden="false" customHeight="false" outlineLevel="0" collapsed="false">
      <c r="B41" s="5" t="s">
        <v>89</v>
      </c>
      <c r="C41" s="14" t="s">
        <v>24</v>
      </c>
      <c r="D41" s="11" t="n">
        <v>5.39</v>
      </c>
      <c r="E41" s="40" t="b">
        <f aca="false">TRUE()</f>
        <v>1</v>
      </c>
      <c r="F41" s="11" t="n">
        <f aca="false">IF(E41=TRUE(),D41,0)</f>
        <v>5.39</v>
      </c>
      <c r="I41" s="16" t="n">
        <v>45891</v>
      </c>
      <c r="J41" s="14" t="s">
        <v>30</v>
      </c>
      <c r="K41" s="11" t="n">
        <v>19.03</v>
      </c>
    </row>
    <row r="42" customFormat="false" ht="15" hidden="false" customHeight="false" outlineLevel="0" collapsed="false">
      <c r="B42" s="5" t="s">
        <v>90</v>
      </c>
      <c r="C42" s="14" t="s">
        <v>24</v>
      </c>
      <c r="D42" s="11" t="n">
        <v>40.04</v>
      </c>
      <c r="E42" s="40" t="b">
        <f aca="false">TRUE()</f>
        <v>1</v>
      </c>
      <c r="F42" s="11" t="n">
        <f aca="false">IF(E42=TRUE(),D42,0)</f>
        <v>40.04</v>
      </c>
      <c r="I42" s="16" t="n">
        <v>45890</v>
      </c>
      <c r="J42" s="14" t="s">
        <v>28</v>
      </c>
      <c r="K42" s="11" t="n">
        <v>2</v>
      </c>
      <c r="L42" s="5" t="s">
        <v>84</v>
      </c>
    </row>
    <row r="43" customFormat="false" ht="15" hidden="false" customHeight="false" outlineLevel="0" collapsed="false">
      <c r="B43" s="5" t="s">
        <v>91</v>
      </c>
      <c r="C43" s="14" t="s">
        <v>24</v>
      </c>
      <c r="D43" s="11" t="n">
        <v>6.48</v>
      </c>
      <c r="E43" s="40" t="b">
        <f aca="false">TRUE()</f>
        <v>1</v>
      </c>
      <c r="F43" s="11" t="n">
        <f aca="false">IF(E43=TRUE(),D43,0)</f>
        <v>6.48</v>
      </c>
      <c r="I43" s="16" t="n">
        <v>45891</v>
      </c>
      <c r="J43" s="14" t="s">
        <v>30</v>
      </c>
      <c r="K43" s="11" t="n">
        <v>19.03</v>
      </c>
      <c r="L43" s="5" t="s">
        <v>92</v>
      </c>
    </row>
    <row r="44" customFormat="false" ht="15" hidden="false" customHeight="false" outlineLevel="0" collapsed="false">
      <c r="B44" s="5" t="s">
        <v>93</v>
      </c>
      <c r="C44" s="14" t="s">
        <v>24</v>
      </c>
      <c r="D44" s="11" t="n">
        <v>5.4</v>
      </c>
      <c r="E44" s="40" t="b">
        <f aca="false">TRUE()</f>
        <v>1</v>
      </c>
      <c r="F44" s="11" t="n">
        <f aca="false">IF(E44=TRUE(),D44,0)</f>
        <v>5.4</v>
      </c>
      <c r="I44" s="16" t="n">
        <v>45891</v>
      </c>
      <c r="J44" s="14" t="s">
        <v>25</v>
      </c>
      <c r="K44" s="11" t="n">
        <v>30.25</v>
      </c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 t="n">
        <v>45892</v>
      </c>
      <c r="J45" s="14" t="s">
        <v>26</v>
      </c>
      <c r="K45" s="11" t="n">
        <v>330.64</v>
      </c>
      <c r="L45" s="5" t="s">
        <v>94</v>
      </c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 t="n">
        <v>45892</v>
      </c>
      <c r="J46" s="14" t="s">
        <v>30</v>
      </c>
      <c r="K46" s="11" t="n">
        <v>18.16</v>
      </c>
      <c r="L46" s="5" t="s">
        <v>95</v>
      </c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 t="n">
        <v>45892</v>
      </c>
      <c r="J47" s="14" t="s">
        <v>30</v>
      </c>
      <c r="K47" s="11" t="n">
        <v>22</v>
      </c>
      <c r="L47" s="5" t="s">
        <v>92</v>
      </c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 t="n">
        <v>45893</v>
      </c>
      <c r="J48" s="14" t="s">
        <v>28</v>
      </c>
      <c r="K48" s="11" t="n">
        <v>2</v>
      </c>
      <c r="L48" s="5" t="s">
        <v>84</v>
      </c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 t="n">
        <v>45893</v>
      </c>
      <c r="J49" s="14" t="s">
        <v>28</v>
      </c>
      <c r="K49" s="11" t="n">
        <v>16.54</v>
      </c>
      <c r="L49" s="5" t="s">
        <v>96</v>
      </c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 t="n">
        <v>45894</v>
      </c>
      <c r="J50" s="14" t="s">
        <v>28</v>
      </c>
      <c r="K50" s="11" t="n">
        <v>10.81</v>
      </c>
      <c r="L50" s="5" t="s">
        <v>82</v>
      </c>
    </row>
    <row r="51" customFormat="false" ht="15" hidden="false" customHeight="false" outlineLevel="0" collapsed="false">
      <c r="I51" s="16" t="n">
        <v>45895</v>
      </c>
      <c r="J51" s="14" t="s">
        <v>28</v>
      </c>
      <c r="K51" s="11" t="n">
        <v>6.47</v>
      </c>
      <c r="L51" s="5" t="s">
        <v>97</v>
      </c>
    </row>
    <row r="52" customFormat="false" ht="15" hidden="false" customHeight="false" outlineLevel="0" collapsed="false">
      <c r="I52" s="16" t="n">
        <v>45895</v>
      </c>
      <c r="J52" s="14" t="s">
        <v>28</v>
      </c>
      <c r="K52" s="11" t="n">
        <v>9.18</v>
      </c>
      <c r="L52" s="5" t="s">
        <v>97</v>
      </c>
    </row>
    <row r="53" customFormat="false" ht="15" hidden="false" customHeight="false" outlineLevel="0" collapsed="false">
      <c r="B53" s="13" t="s">
        <v>40</v>
      </c>
      <c r="C53" s="13"/>
      <c r="I53" s="16" t="n">
        <v>45895</v>
      </c>
      <c r="J53" s="14" t="s">
        <v>26</v>
      </c>
      <c r="K53" s="11" t="n">
        <v>34.64</v>
      </c>
      <c r="L53" s="5" t="s">
        <v>98</v>
      </c>
    </row>
    <row r="54" customFormat="false" ht="15" hidden="false" customHeight="false" outlineLevel="0" collapsed="false">
      <c r="B54" s="14" t="s">
        <v>41</v>
      </c>
      <c r="C54" s="14" t="s">
        <v>19</v>
      </c>
      <c r="I54" s="16" t="n">
        <v>45896</v>
      </c>
      <c r="J54" s="14" t="s">
        <v>28</v>
      </c>
      <c r="K54" s="11" t="n">
        <v>9.93</v>
      </c>
      <c r="L54" s="5" t="s">
        <v>99</v>
      </c>
    </row>
    <row r="55" customFormat="false" ht="15" hidden="false" customHeight="false" outlineLevel="0" collapsed="false">
      <c r="B55" s="5" t="s">
        <v>100</v>
      </c>
      <c r="C55" s="11" t="n">
        <v>150</v>
      </c>
      <c r="I55" s="16" t="n">
        <v>45897</v>
      </c>
      <c r="J55" s="14" t="s">
        <v>26</v>
      </c>
      <c r="K55" s="11" t="n">
        <v>32.46</v>
      </c>
      <c r="L55" s="5" t="s">
        <v>101</v>
      </c>
    </row>
    <row r="56" customFormat="false" ht="15" hidden="false" customHeight="false" outlineLevel="0" collapsed="false">
      <c r="B56" s="5" t="s">
        <v>102</v>
      </c>
      <c r="C56" s="11" t="n">
        <v>527.65</v>
      </c>
      <c r="I56" s="16" t="n">
        <v>45898</v>
      </c>
      <c r="J56" s="14" t="s">
        <v>28</v>
      </c>
      <c r="K56" s="11" t="n">
        <v>10.22</v>
      </c>
      <c r="L56" s="5" t="s">
        <v>84</v>
      </c>
    </row>
    <row r="57" customFormat="false" ht="15" hidden="false" customHeight="false" outlineLevel="0" collapsed="false">
      <c r="C57" s="11"/>
      <c r="I57" s="16" t="n">
        <v>45898</v>
      </c>
      <c r="J57" s="14" t="s">
        <v>28</v>
      </c>
      <c r="K57" s="11" t="n">
        <v>2.61</v>
      </c>
      <c r="L57" s="5" t="s">
        <v>84</v>
      </c>
    </row>
    <row r="58" customFormat="false" ht="15" hidden="false" customHeight="false" outlineLevel="0" collapsed="false">
      <c r="C58" s="11"/>
      <c r="I58" s="16" t="n">
        <v>45898</v>
      </c>
      <c r="J58" s="14" t="s">
        <v>28</v>
      </c>
      <c r="K58" s="11" t="n">
        <v>11.46</v>
      </c>
      <c r="L58" s="5" t="s">
        <v>103</v>
      </c>
    </row>
    <row r="59" customFormat="false" ht="15" hidden="false" customHeight="false" outlineLevel="0" collapsed="false">
      <c r="C59" s="11"/>
      <c r="I59" s="16" t="n">
        <v>45899</v>
      </c>
      <c r="J59" s="14" t="s">
        <v>28</v>
      </c>
      <c r="K59" s="11" t="n">
        <v>3.6</v>
      </c>
      <c r="L59" s="5" t="s">
        <v>104</v>
      </c>
    </row>
    <row r="60" customFormat="false" ht="15" hidden="false" customHeight="false" outlineLevel="0" collapsed="false">
      <c r="I60" s="16" t="n">
        <v>45899</v>
      </c>
      <c r="J60" s="14" t="s">
        <v>30</v>
      </c>
      <c r="K60" s="11" t="n">
        <v>64.89</v>
      </c>
      <c r="L60" s="5" t="s">
        <v>105</v>
      </c>
    </row>
    <row r="61" customFormat="false" ht="15" hidden="false" customHeight="false" outlineLevel="0" collapsed="false">
      <c r="I61" s="16" t="n">
        <v>45899</v>
      </c>
      <c r="J61" s="14" t="s">
        <v>26</v>
      </c>
      <c r="K61" s="11" t="n">
        <v>48.52</v>
      </c>
    </row>
    <row r="62" customFormat="false" ht="15" hidden="false" customHeight="false" outlineLevel="0" collapsed="false">
      <c r="I62" s="16" t="n">
        <v>45900</v>
      </c>
      <c r="J62" s="14" t="s">
        <v>28</v>
      </c>
      <c r="K62" s="11" t="n">
        <v>21.82</v>
      </c>
      <c r="L62" s="5" t="s">
        <v>106</v>
      </c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107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SUM(IncomeTbl_Sep[Amount])</f>
        <v>2197.54</v>
      </c>
      <c r="C6" s="6"/>
      <c r="D6" s="6" t="n">
        <f aca="false">R6+R7</f>
        <v>369.63</v>
      </c>
      <c r="E6" s="6"/>
      <c r="F6" s="6" t="n">
        <f aca="false">B6-D6</f>
        <v>1827.91</v>
      </c>
      <c r="G6" s="6"/>
      <c r="H6" s="7" t="n">
        <f aca="false">IFERROR(R8/B6,0)</f>
        <v>0.166399701484387</v>
      </c>
      <c r="I6" s="7"/>
      <c r="J6" s="8" t="str">
        <f aca="false">COUNTIF(BillsTbl_Sep[Paid?],TRUE())&amp;" / "&amp;COUNTA(BillsTbl_Sep[Bill Name])</f>
        <v>2 / 5</v>
      </c>
      <c r="K6" s="8"/>
      <c r="Q6" s="9" t="s">
        <v>9</v>
      </c>
      <c r="R6" s="10" t="n">
        <f aca="false">O31+O27+O25+O29</f>
        <v>232.24</v>
      </c>
      <c r="T6" s="5" t="s">
        <v>10</v>
      </c>
      <c r="U6" s="11" t="n">
        <f aca="false">C33</f>
        <v>1098.77</v>
      </c>
      <c r="V6" s="11" t="n">
        <f aca="false">R6</f>
        <v>232.24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137.39</v>
      </c>
      <c r="T7" s="5" t="s">
        <v>12</v>
      </c>
      <c r="U7" s="11" t="n">
        <f aca="false">C34</f>
        <v>659.262</v>
      </c>
      <c r="V7" s="11" t="n">
        <f aca="false">R7</f>
        <v>137.39</v>
      </c>
    </row>
    <row r="8" customFormat="false" ht="15" hidden="false" customHeight="false" outlineLevel="0" collapsed="false">
      <c r="Q8" s="9" t="s">
        <v>13</v>
      </c>
      <c r="R8" s="10" t="n">
        <f aca="false">SUM(SavingsTbl_Sep[Amount])</f>
        <v>365.67</v>
      </c>
      <c r="T8" s="5" t="s">
        <v>14</v>
      </c>
      <c r="U8" s="11" t="n">
        <f aca="false">C35</f>
        <v>439.508</v>
      </c>
      <c r="V8" s="11" t="n">
        <f aca="false">R8</f>
        <v>365.67</v>
      </c>
    </row>
    <row r="9" customFormat="false" ht="15" hidden="false" customHeight="false" outlineLevel="0" collapsed="false">
      <c r="Q9" s="9" t="s">
        <v>2</v>
      </c>
      <c r="R9" s="12" t="n">
        <f aca="false">R6+R7</f>
        <v>369.63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B24" s="5" t="s">
        <v>108</v>
      </c>
      <c r="C24" s="11" t="n">
        <v>1193.34</v>
      </c>
      <c r="I24" s="16" t="n">
        <v>45901</v>
      </c>
      <c r="J24" s="14" t="s">
        <v>30</v>
      </c>
      <c r="K24" s="11" t="n">
        <v>24.33</v>
      </c>
      <c r="L24" s="5" t="s">
        <v>109</v>
      </c>
      <c r="N24" s="17" t="s">
        <v>24</v>
      </c>
      <c r="O24" s="18" t="n">
        <f aca="false">SUMIFS(BillsTbl_Sep[Actual],BillsTbl_Sep[Category],"Subscriptions")+SUMIFS(TxnTbl_Sep[Amount],TxnTbl_Sep[Category],"Subscriptions")</f>
        <v>6.48</v>
      </c>
    </row>
    <row r="25" customFormat="false" ht="15" hidden="false" customHeight="false" outlineLevel="0" collapsed="false">
      <c r="B25" s="5" t="s">
        <v>76</v>
      </c>
      <c r="C25" s="11" t="n">
        <v>135</v>
      </c>
      <c r="I25" s="16" t="n">
        <v>45902</v>
      </c>
      <c r="J25" s="14" t="s">
        <v>26</v>
      </c>
      <c r="K25" s="11" t="n">
        <v>55.04</v>
      </c>
      <c r="L25" s="5" t="s">
        <v>110</v>
      </c>
      <c r="N25" s="17" t="s">
        <v>25</v>
      </c>
      <c r="O25" s="18" t="n">
        <f aca="false">SUMIFS(BillsTbl_Sep[Actual],BillsTbl_Sep[Category],"Gas")+SUMIFS(TxnTbl_Sep[Amount],TxnTbl_Sep[Category],"Gas")</f>
        <v>32.24</v>
      </c>
    </row>
    <row r="26" customFormat="false" ht="15" hidden="false" customHeight="false" outlineLevel="0" collapsed="false">
      <c r="B26" s="5" t="s">
        <v>111</v>
      </c>
      <c r="C26" s="11" t="n">
        <v>869.2</v>
      </c>
      <c r="I26" s="16" t="n">
        <v>45902</v>
      </c>
      <c r="J26" s="14" t="s">
        <v>28</v>
      </c>
      <c r="K26" s="11" t="n">
        <v>2.61</v>
      </c>
      <c r="L26" s="5" t="s">
        <v>84</v>
      </c>
      <c r="N26" s="17" t="s">
        <v>26</v>
      </c>
      <c r="O26" s="18" t="n">
        <f aca="false">SUMIFS(BillsTbl_Sep[Actual],BillsTbl_Sep[Category],"Other")+SUMIFS(TxnTbl_Sep[Amount],TxnTbl_Sep[Category],"Other")</f>
        <v>55.04</v>
      </c>
    </row>
    <row r="27" customFormat="false" ht="15" hidden="false" customHeight="false" outlineLevel="0" collapsed="false">
      <c r="C27" s="11"/>
      <c r="I27" s="16" t="n">
        <v>45902</v>
      </c>
      <c r="J27" s="14" t="s">
        <v>28</v>
      </c>
      <c r="K27" s="11" t="n">
        <v>9.77</v>
      </c>
      <c r="L27" s="5" t="s">
        <v>106</v>
      </c>
      <c r="N27" s="17" t="s">
        <v>27</v>
      </c>
      <c r="O27" s="18" t="n">
        <f aca="false">SUMIFS(BillsTbl_Sep[Actual],BillsTbl_Sep[Category],"Groceries")+SUMIFS(TxnTbl_Sep[Amount],TxnTbl_Sep[Category],"Groceries")</f>
        <v>0</v>
      </c>
    </row>
    <row r="28" customFormat="false" ht="15" hidden="false" customHeight="false" outlineLevel="0" collapsed="false">
      <c r="C28" s="11"/>
      <c r="I28" s="16" t="n">
        <v>45902</v>
      </c>
      <c r="J28" s="14" t="s">
        <v>28</v>
      </c>
      <c r="K28" s="11" t="n">
        <v>2.76</v>
      </c>
      <c r="L28" s="5" t="s">
        <v>84</v>
      </c>
      <c r="N28" s="17" t="s">
        <v>28</v>
      </c>
      <c r="O28" s="18" t="n">
        <f aca="false">SUMIFS(BillsTbl_Sep[Actual],BillsTbl_Sep[Category],"Dining out")+SUMIFS(TxnTbl_Sep[Amount],TxnTbl_Sep[Category],"Dining out")</f>
        <v>51.54</v>
      </c>
    </row>
    <row r="29" customFormat="false" ht="15" hidden="false" customHeight="false" outlineLevel="0" collapsed="false">
      <c r="C29" s="11"/>
      <c r="I29" s="16" t="n">
        <v>45902</v>
      </c>
      <c r="J29" s="14" t="s">
        <v>28</v>
      </c>
      <c r="K29" s="11" t="n">
        <v>7.53</v>
      </c>
      <c r="L29" s="5" t="s">
        <v>84</v>
      </c>
      <c r="N29" s="17" t="s">
        <v>29</v>
      </c>
      <c r="O29" s="18" t="n">
        <f aca="false">SUMIFS(BillsTbl_Sep[Actual],BillsTbl_Sep[Category],"Rent")+SUMIFS(TxnTbl_Sep[Amount],TxnTbl_Sep[Category],"Rent")</f>
        <v>0</v>
      </c>
    </row>
    <row r="30" customFormat="false" ht="15" hidden="false" customHeight="false" outlineLevel="0" collapsed="false">
      <c r="I30" s="16" t="n">
        <v>45903</v>
      </c>
      <c r="J30" s="14" t="s">
        <v>28</v>
      </c>
      <c r="K30" s="11" t="n">
        <v>21.16</v>
      </c>
      <c r="L30" s="5" t="s">
        <v>112</v>
      </c>
      <c r="N30" s="17" t="s">
        <v>30</v>
      </c>
      <c r="O30" s="18" t="n">
        <f aca="false">SUMIFS(BillsTbl_Sep[Actual],BillsTbl_Sep[Category],"Shopping")+SUMIFS(TxnTbl_Sep[Amount],TxnTbl_Sep[Category],"Shopping")</f>
        <v>24.33</v>
      </c>
    </row>
    <row r="31" customFormat="false" ht="15" hidden="false" customHeight="false" outlineLevel="0" collapsed="false">
      <c r="I31" s="16" t="n">
        <v>45903</v>
      </c>
      <c r="J31" s="14" t="s">
        <v>28</v>
      </c>
      <c r="K31" s="11" t="n">
        <v>7.71</v>
      </c>
      <c r="L31" s="5" t="s">
        <v>99</v>
      </c>
      <c r="N31" s="17" t="s">
        <v>31</v>
      </c>
      <c r="O31" s="18" t="n">
        <f aca="false">SUMIFS(BillsTbl_Sep[Actual],BillsTbl_Sep[Category],"Credit Card")+SUMIFS(TxnTbl_Sep[Amount],TxnTbl_Sep[Category],"Credit Card")</f>
        <v>200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 t="n">
        <v>45903</v>
      </c>
      <c r="J32" s="14" t="s">
        <v>25</v>
      </c>
      <c r="K32" s="11" t="n">
        <v>32.24</v>
      </c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1098.77</v>
      </c>
      <c r="I33" s="16"/>
      <c r="K33" s="11"/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659.262</v>
      </c>
      <c r="I34" s="16"/>
      <c r="K34" s="11"/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439.508</v>
      </c>
      <c r="I35" s="16"/>
      <c r="K35" s="11"/>
    </row>
    <row r="36" customFormat="false" ht="15" hidden="false" customHeight="false" outlineLevel="0" collapsed="false">
      <c r="I36" s="16"/>
      <c r="K36" s="11"/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/>
      <c r="K37" s="11"/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/>
      <c r="K38" s="11"/>
    </row>
    <row r="39" customFormat="false" ht="15" hidden="false" customHeight="false" outlineLevel="0" collapsed="false">
      <c r="B39" s="5" t="s">
        <v>29</v>
      </c>
      <c r="C39" s="14" t="s">
        <v>29</v>
      </c>
      <c r="D39" s="11" t="n">
        <v>650</v>
      </c>
      <c r="E39" s="40" t="b">
        <f aca="false">FALSE()</f>
        <v>0</v>
      </c>
      <c r="F39" s="11" t="n">
        <f aca="false">IF(E39=TRUE(),D39,0)</f>
        <v>0</v>
      </c>
      <c r="I39" s="16"/>
      <c r="K39" s="11"/>
    </row>
    <row r="40" customFormat="false" ht="15" hidden="false" customHeight="false" outlineLevel="0" collapsed="false">
      <c r="B40" s="5" t="s">
        <v>87</v>
      </c>
      <c r="C40" s="14" t="s">
        <v>31</v>
      </c>
      <c r="D40" s="11" t="n">
        <v>200</v>
      </c>
      <c r="E40" s="40" t="b">
        <f aca="false">TRUE()</f>
        <v>1</v>
      </c>
      <c r="F40" s="11" t="n">
        <f aca="false">IF(E40=TRUE(),D40,0)</f>
        <v>200</v>
      </c>
      <c r="I40" s="16"/>
      <c r="K40" s="11"/>
    </row>
    <row r="41" customFormat="false" ht="15" hidden="false" customHeight="false" outlineLevel="0" collapsed="false">
      <c r="B41" s="5" t="s">
        <v>89</v>
      </c>
      <c r="C41" s="14" t="s">
        <v>24</v>
      </c>
      <c r="D41" s="11" t="n">
        <v>5.39</v>
      </c>
      <c r="E41" s="40" t="b">
        <f aca="false">FALSE()</f>
        <v>0</v>
      </c>
      <c r="F41" s="11" t="n">
        <f aca="false">IF(E41=TRUE(),D41,0)</f>
        <v>0</v>
      </c>
      <c r="I41" s="16"/>
      <c r="K41" s="11"/>
    </row>
    <row r="42" customFormat="false" ht="15" hidden="false" customHeight="false" outlineLevel="0" collapsed="false">
      <c r="B42" s="5" t="s">
        <v>110</v>
      </c>
      <c r="C42" s="14" t="s">
        <v>24</v>
      </c>
      <c r="D42" s="11" t="n">
        <v>40.04</v>
      </c>
      <c r="E42" s="40" t="b">
        <f aca="false">FALSE()</f>
        <v>0</v>
      </c>
      <c r="F42" s="11" t="n">
        <f aca="false">IF(E42=TRUE(),D42,0)</f>
        <v>0</v>
      </c>
      <c r="I42" s="16"/>
      <c r="K42" s="11"/>
    </row>
    <row r="43" customFormat="false" ht="15" hidden="false" customHeight="false" outlineLevel="0" collapsed="false">
      <c r="B43" s="5" t="s">
        <v>91</v>
      </c>
      <c r="C43" s="14" t="s">
        <v>24</v>
      </c>
      <c r="D43" s="11" t="n">
        <v>6.48</v>
      </c>
      <c r="E43" s="40" t="b">
        <f aca="false">TRUE()</f>
        <v>1</v>
      </c>
      <c r="F43" s="11" t="n">
        <f aca="false">IF(E43=TRUE(),D43,0)</f>
        <v>6.48</v>
      </c>
      <c r="I43" s="16"/>
      <c r="K43" s="11"/>
    </row>
    <row r="44" customFormat="false" ht="15" hidden="false" customHeight="false" outlineLevel="0" collapsed="false">
      <c r="D44" s="11"/>
      <c r="F44" s="11" t="n">
        <f aca="false">IF(E44=TRUE(),D44,0)</f>
        <v>0</v>
      </c>
      <c r="I44" s="16"/>
      <c r="K44" s="11"/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/>
      <c r="K45" s="11"/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/>
      <c r="K46" s="11"/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/>
      <c r="K47" s="11"/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/>
      <c r="K48" s="11"/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/>
      <c r="K49" s="11"/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/>
      <c r="K50" s="11"/>
    </row>
    <row r="51" customFormat="false" ht="15" hidden="false" customHeight="false" outlineLevel="0" collapsed="false">
      <c r="I51" s="16"/>
      <c r="K51" s="11"/>
    </row>
    <row r="52" customFormat="false" ht="15" hidden="false" customHeight="false" outlineLevel="0" collapsed="false">
      <c r="I52" s="16"/>
      <c r="K52" s="11"/>
    </row>
    <row r="53" customFormat="false" ht="15" hidden="false" customHeight="false" outlineLevel="0" collapsed="false">
      <c r="B53" s="13" t="s">
        <v>40</v>
      </c>
      <c r="C53" s="13"/>
      <c r="I53" s="16"/>
      <c r="K53" s="11"/>
    </row>
    <row r="54" customFormat="false" ht="15" hidden="false" customHeight="false" outlineLevel="0" collapsed="false">
      <c r="B54" s="14" t="s">
        <v>41</v>
      </c>
      <c r="C54" s="14" t="s">
        <v>19</v>
      </c>
      <c r="I54" s="16"/>
      <c r="K54" s="11"/>
    </row>
    <row r="55" customFormat="false" ht="15" hidden="false" customHeight="false" outlineLevel="0" collapsed="false">
      <c r="B55" s="5" t="s">
        <v>102</v>
      </c>
      <c r="C55" s="11" t="n">
        <v>265.67</v>
      </c>
      <c r="I55" s="16"/>
      <c r="K55" s="11"/>
    </row>
    <row r="56" customFormat="false" ht="15" hidden="false" customHeight="false" outlineLevel="0" collapsed="false">
      <c r="B56" s="5" t="s">
        <v>113</v>
      </c>
      <c r="C56" s="11" t="n">
        <v>100</v>
      </c>
      <c r="I56" s="16"/>
      <c r="K56" s="11"/>
    </row>
    <row r="57" customFormat="false" ht="15" hidden="false" customHeight="false" outlineLevel="0" collapsed="false">
      <c r="C57" s="11"/>
      <c r="I57" s="16"/>
      <c r="K57" s="11"/>
    </row>
    <row r="58" customFormat="false" ht="15" hidden="false" customHeight="false" outlineLevel="0" collapsed="false">
      <c r="C58" s="11"/>
      <c r="I58" s="16"/>
      <c r="K58" s="11"/>
    </row>
    <row r="59" customFormat="false" ht="15" hidden="false" customHeight="false" outlineLevel="0" collapsed="false">
      <c r="C59" s="11"/>
      <c r="I59" s="16"/>
      <c r="K59" s="11"/>
    </row>
    <row r="60" customFormat="false" ht="15" hidden="false" customHeight="false" outlineLevel="0" collapsed="false">
      <c r="I60" s="16"/>
      <c r="K60" s="11"/>
    </row>
    <row r="61" customFormat="false" ht="15" hidden="false" customHeight="false" outlineLevel="0" collapsed="false">
      <c r="I61" s="16"/>
      <c r="K61" s="11"/>
    </row>
    <row r="62" customFormat="false" ht="15" hidden="false" customHeight="false" outlineLevel="0" collapsed="false">
      <c r="I62" s="16"/>
      <c r="K62" s="11"/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114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SUM(IncomeTbl_Oct[Amount])</f>
        <v>0</v>
      </c>
      <c r="C6" s="6"/>
      <c r="D6" s="6" t="n">
        <f aca="false">R6+R7</f>
        <v>0</v>
      </c>
      <c r="E6" s="6"/>
      <c r="F6" s="6" t="n">
        <f aca="false">B6-D6</f>
        <v>0</v>
      </c>
      <c r="G6" s="6"/>
      <c r="H6" s="7" t="n">
        <f aca="false">IFERROR(R8/B6,0)</f>
        <v>0</v>
      </c>
      <c r="I6" s="7"/>
      <c r="J6" s="8" t="str">
        <f aca="false">COUNTIF(BillsTbl_Oct[Paid?],TRUE())&amp;" / "&amp;COUNTA(BillsTbl_Oct[Bill Name])</f>
        <v>0 / 0</v>
      </c>
      <c r="K6" s="8"/>
      <c r="Q6" s="9" t="s">
        <v>9</v>
      </c>
      <c r="R6" s="10" t="n">
        <f aca="false">O31+O27+O25+O29</f>
        <v>0</v>
      </c>
      <c r="T6" s="5" t="s">
        <v>10</v>
      </c>
      <c r="U6" s="11" t="n">
        <f aca="false">C33</f>
        <v>0</v>
      </c>
      <c r="V6" s="11" t="n">
        <f aca="false">R6</f>
        <v>0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0</v>
      </c>
      <c r="T7" s="5" t="s">
        <v>12</v>
      </c>
      <c r="U7" s="11" t="n">
        <f aca="false">C34</f>
        <v>0</v>
      </c>
      <c r="V7" s="11" t="n">
        <f aca="false">R7</f>
        <v>0</v>
      </c>
    </row>
    <row r="8" customFormat="false" ht="15" hidden="false" customHeight="false" outlineLevel="0" collapsed="false">
      <c r="Q8" s="9" t="s">
        <v>13</v>
      </c>
      <c r="R8" s="10" t="n">
        <f aca="false">SUM(SavingsTbl_Oct[Amount])</f>
        <v>0</v>
      </c>
      <c r="T8" s="5" t="s">
        <v>14</v>
      </c>
      <c r="U8" s="11" t="n">
        <f aca="false">C35</f>
        <v>0</v>
      </c>
      <c r="V8" s="11" t="n">
        <f aca="false">R8</f>
        <v>0</v>
      </c>
    </row>
    <row r="9" customFormat="false" ht="15" hidden="false" customHeight="false" outlineLevel="0" collapsed="false">
      <c r="Q9" s="9" t="s">
        <v>2</v>
      </c>
      <c r="R9" s="12" t="n">
        <f aca="false">R6+R7</f>
        <v>0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C24" s="11"/>
      <c r="I24" s="16"/>
      <c r="K24" s="11"/>
      <c r="N24" s="17" t="s">
        <v>24</v>
      </c>
      <c r="O24" s="18" t="n">
        <f aca="false">SUMIFS(BillsTbl_Oct[Actual],BillsTbl_Oct[Category],"Subscriptions")+SUMIFS(TxnTbl_Oct[Amount],TxnTbl_Oct[Category],"Subscriptions")</f>
        <v>0</v>
      </c>
    </row>
    <row r="25" customFormat="false" ht="15" hidden="false" customHeight="false" outlineLevel="0" collapsed="false">
      <c r="C25" s="11"/>
      <c r="I25" s="16"/>
      <c r="K25" s="11"/>
      <c r="N25" s="17" t="s">
        <v>25</v>
      </c>
      <c r="O25" s="18" t="n">
        <f aca="false">SUMIFS(BillsTbl_Oct[Actual],BillsTbl_Oct[Category],"Gas")+SUMIFS(TxnTbl_Oct[Amount],TxnTbl_Oct[Category],"Gas")</f>
        <v>0</v>
      </c>
    </row>
    <row r="26" customFormat="false" ht="15" hidden="false" customHeight="false" outlineLevel="0" collapsed="false">
      <c r="C26" s="11"/>
      <c r="I26" s="16"/>
      <c r="K26" s="11"/>
      <c r="N26" s="17" t="s">
        <v>26</v>
      </c>
      <c r="O26" s="18" t="n">
        <f aca="false">SUMIFS(BillsTbl_Oct[Actual],BillsTbl_Oct[Category],"Other")+SUMIFS(TxnTbl_Oct[Amount],TxnTbl_Oct[Category],"Other")</f>
        <v>0</v>
      </c>
    </row>
    <row r="27" customFormat="false" ht="15" hidden="false" customHeight="false" outlineLevel="0" collapsed="false">
      <c r="C27" s="11"/>
      <c r="I27" s="16"/>
      <c r="K27" s="11"/>
      <c r="N27" s="17" t="s">
        <v>27</v>
      </c>
      <c r="O27" s="18" t="n">
        <f aca="false">SUMIFS(BillsTbl_Oct[Actual],BillsTbl_Oct[Category],"Groceries")+SUMIFS(TxnTbl_Oct[Amount],TxnTbl_Oct[Category],"Groceries")</f>
        <v>0</v>
      </c>
    </row>
    <row r="28" customFormat="false" ht="15" hidden="false" customHeight="false" outlineLevel="0" collapsed="false">
      <c r="C28" s="11"/>
      <c r="I28" s="16"/>
      <c r="K28" s="11"/>
      <c r="N28" s="17" t="s">
        <v>28</v>
      </c>
      <c r="O28" s="18" t="n">
        <f aca="false">SUMIFS(BillsTbl_Oct[Actual],BillsTbl_Oct[Category],"Dining out")+SUMIFS(TxnTbl_Oct[Amount],TxnTbl_Oct[Category],"Dining out")</f>
        <v>0</v>
      </c>
    </row>
    <row r="29" customFormat="false" ht="15" hidden="false" customHeight="false" outlineLevel="0" collapsed="false">
      <c r="C29" s="11"/>
      <c r="I29" s="16"/>
      <c r="K29" s="11"/>
      <c r="N29" s="17" t="s">
        <v>29</v>
      </c>
      <c r="O29" s="18" t="n">
        <f aca="false">SUMIFS(BillsTbl_Oct[Actual],BillsTbl_Oct[Category],"Rent")+SUMIFS(TxnTbl_Oct[Amount],TxnTbl_Oct[Category],"Rent")</f>
        <v>0</v>
      </c>
    </row>
    <row r="30" customFormat="false" ht="15" hidden="false" customHeight="false" outlineLevel="0" collapsed="false">
      <c r="I30" s="16"/>
      <c r="K30" s="11"/>
      <c r="N30" s="17" t="s">
        <v>30</v>
      </c>
      <c r="O30" s="18" t="n">
        <f aca="false">SUMIFS(BillsTbl_Oct[Actual],BillsTbl_Oct[Category],"Shopping")+SUMIFS(TxnTbl_Oct[Amount],TxnTbl_Oct[Category],"Shopping")</f>
        <v>0</v>
      </c>
    </row>
    <row r="31" customFormat="false" ht="15" hidden="false" customHeight="false" outlineLevel="0" collapsed="false">
      <c r="I31" s="16"/>
      <c r="K31" s="11"/>
      <c r="N31" s="17" t="s">
        <v>31</v>
      </c>
      <c r="O31" s="18" t="n">
        <f aca="false">SUMIFS(BillsTbl_Oct[Actual],BillsTbl_Oct[Category],"Credit Card")+SUMIFS(TxnTbl_Oct[Amount],TxnTbl_Oct[Category],"Credit Card")</f>
        <v>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/>
      <c r="K32" s="11"/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0</v>
      </c>
      <c r="I33" s="16"/>
      <c r="K33" s="11"/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0</v>
      </c>
      <c r="I34" s="16"/>
      <c r="K34" s="11"/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0</v>
      </c>
      <c r="I35" s="16"/>
      <c r="K35" s="11"/>
    </row>
    <row r="36" customFormat="false" ht="15" hidden="false" customHeight="false" outlineLevel="0" collapsed="false">
      <c r="I36" s="16"/>
      <c r="K36" s="11"/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/>
      <c r="K37" s="11"/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/>
      <c r="K38" s="11"/>
    </row>
    <row r="39" customFormat="false" ht="15" hidden="false" customHeight="false" outlineLevel="0" collapsed="false">
      <c r="D39" s="11"/>
      <c r="F39" s="11" t="n">
        <f aca="false">IF(E39=TRUE(),D39,0)</f>
        <v>0</v>
      </c>
      <c r="I39" s="16"/>
      <c r="K39" s="11"/>
    </row>
    <row r="40" customFormat="false" ht="15" hidden="false" customHeight="false" outlineLevel="0" collapsed="false">
      <c r="D40" s="11"/>
      <c r="F40" s="11" t="n">
        <f aca="false">IF(E40=TRUE(),D40,0)</f>
        <v>0</v>
      </c>
      <c r="I40" s="16"/>
      <c r="K40" s="11"/>
    </row>
    <row r="41" customFormat="false" ht="15" hidden="false" customHeight="false" outlineLevel="0" collapsed="false">
      <c r="D41" s="11"/>
      <c r="F41" s="11" t="n">
        <f aca="false">IF(E41=TRUE(),D41,0)</f>
        <v>0</v>
      </c>
      <c r="I41" s="16"/>
      <c r="K41" s="11"/>
    </row>
    <row r="42" customFormat="false" ht="15" hidden="false" customHeight="false" outlineLevel="0" collapsed="false">
      <c r="D42" s="11"/>
      <c r="F42" s="11" t="n">
        <f aca="false">IF(E42=TRUE(),D42,0)</f>
        <v>0</v>
      </c>
      <c r="I42" s="16"/>
      <c r="K42" s="11"/>
    </row>
    <row r="43" customFormat="false" ht="15" hidden="false" customHeight="false" outlineLevel="0" collapsed="false">
      <c r="D43" s="11"/>
      <c r="F43" s="11" t="n">
        <f aca="false">IF(E43=TRUE(),D43,0)</f>
        <v>0</v>
      </c>
      <c r="I43" s="16"/>
      <c r="K43" s="11"/>
    </row>
    <row r="44" customFormat="false" ht="15" hidden="false" customHeight="false" outlineLevel="0" collapsed="false">
      <c r="D44" s="11"/>
      <c r="F44" s="11" t="n">
        <f aca="false">IF(E44=TRUE(),D44,0)</f>
        <v>0</v>
      </c>
      <c r="I44" s="16"/>
      <c r="K44" s="11"/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/>
      <c r="K45" s="11"/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/>
      <c r="K46" s="11"/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/>
      <c r="K47" s="11"/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/>
      <c r="K48" s="11"/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/>
      <c r="K49" s="11"/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/>
      <c r="K50" s="11"/>
    </row>
    <row r="51" customFormat="false" ht="15" hidden="false" customHeight="false" outlineLevel="0" collapsed="false">
      <c r="I51" s="16"/>
      <c r="K51" s="11"/>
    </row>
    <row r="52" customFormat="false" ht="15" hidden="false" customHeight="false" outlineLevel="0" collapsed="false">
      <c r="I52" s="16"/>
      <c r="K52" s="11"/>
    </row>
    <row r="53" customFormat="false" ht="15" hidden="false" customHeight="false" outlineLevel="0" collapsed="false">
      <c r="B53" s="13" t="s">
        <v>40</v>
      </c>
      <c r="C53" s="13"/>
      <c r="I53" s="16"/>
      <c r="K53" s="11"/>
    </row>
    <row r="54" customFormat="false" ht="15" hidden="false" customHeight="false" outlineLevel="0" collapsed="false">
      <c r="B54" s="14" t="s">
        <v>41</v>
      </c>
      <c r="C54" s="14" t="s">
        <v>19</v>
      </c>
      <c r="I54" s="16"/>
      <c r="K54" s="11"/>
    </row>
    <row r="55" customFormat="false" ht="15" hidden="false" customHeight="false" outlineLevel="0" collapsed="false">
      <c r="C55" s="11"/>
      <c r="I55" s="16"/>
      <c r="K55" s="11"/>
    </row>
    <row r="56" customFormat="false" ht="15" hidden="false" customHeight="false" outlineLevel="0" collapsed="false">
      <c r="C56" s="11"/>
      <c r="I56" s="16"/>
      <c r="K56" s="11"/>
    </row>
    <row r="57" customFormat="false" ht="15" hidden="false" customHeight="false" outlineLevel="0" collapsed="false">
      <c r="C57" s="11"/>
      <c r="I57" s="16"/>
      <c r="K57" s="11"/>
    </row>
    <row r="58" customFormat="false" ht="15" hidden="false" customHeight="false" outlineLevel="0" collapsed="false">
      <c r="C58" s="11"/>
      <c r="I58" s="16"/>
      <c r="K58" s="11"/>
    </row>
    <row r="59" customFormat="false" ht="15" hidden="false" customHeight="false" outlineLevel="0" collapsed="false">
      <c r="C59" s="11"/>
      <c r="I59" s="16"/>
      <c r="K59" s="11"/>
    </row>
    <row r="60" customFormat="false" ht="15" hidden="false" customHeight="false" outlineLevel="0" collapsed="false">
      <c r="I60" s="16"/>
      <c r="K60" s="11"/>
    </row>
    <row r="61" customFormat="false" ht="15" hidden="false" customHeight="false" outlineLevel="0" collapsed="false">
      <c r="I61" s="16"/>
      <c r="K61" s="11"/>
    </row>
    <row r="62" customFormat="false" ht="15" hidden="false" customHeight="false" outlineLevel="0" collapsed="false">
      <c r="I62" s="16"/>
      <c r="K62" s="11"/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115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SUM(IncomeTbl_Nov[Amount])</f>
        <v>0</v>
      </c>
      <c r="C6" s="6"/>
      <c r="D6" s="6" t="n">
        <f aca="false">R6+R7</f>
        <v>0</v>
      </c>
      <c r="E6" s="6"/>
      <c r="F6" s="6" t="n">
        <f aca="false">B6-D6</f>
        <v>0</v>
      </c>
      <c r="G6" s="6"/>
      <c r="H6" s="7" t="n">
        <f aca="false">IFERROR(R8/B6,0)</f>
        <v>0</v>
      </c>
      <c r="I6" s="7"/>
      <c r="J6" s="8" t="str">
        <f aca="false">COUNTIF(BillsTbl_Nov[Paid?],TRUE())&amp;" / "&amp;COUNTA(BillsTbl_Nov[Bill Name])</f>
        <v>0 / 0</v>
      </c>
      <c r="K6" s="8"/>
      <c r="Q6" s="9" t="s">
        <v>9</v>
      </c>
      <c r="R6" s="10" t="n">
        <f aca="false">O31+O27+O25+O29</f>
        <v>0</v>
      </c>
      <c r="T6" s="5" t="s">
        <v>10</v>
      </c>
      <c r="U6" s="11" t="n">
        <f aca="false">C33</f>
        <v>0</v>
      </c>
      <c r="V6" s="11" t="n">
        <f aca="false">R6</f>
        <v>0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0</v>
      </c>
      <c r="T7" s="5" t="s">
        <v>12</v>
      </c>
      <c r="U7" s="11" t="n">
        <f aca="false">C34</f>
        <v>0</v>
      </c>
      <c r="V7" s="11" t="n">
        <f aca="false">R7</f>
        <v>0</v>
      </c>
    </row>
    <row r="8" customFormat="false" ht="15" hidden="false" customHeight="false" outlineLevel="0" collapsed="false">
      <c r="Q8" s="9" t="s">
        <v>13</v>
      </c>
      <c r="R8" s="10" t="n">
        <f aca="false">SUM(SavingsTbl_Nov[Amount])</f>
        <v>0</v>
      </c>
      <c r="T8" s="5" t="s">
        <v>14</v>
      </c>
      <c r="U8" s="11" t="n">
        <f aca="false">C35</f>
        <v>0</v>
      </c>
      <c r="V8" s="11" t="n">
        <f aca="false">R8</f>
        <v>0</v>
      </c>
    </row>
    <row r="9" customFormat="false" ht="15" hidden="false" customHeight="false" outlineLevel="0" collapsed="false">
      <c r="Q9" s="9" t="s">
        <v>2</v>
      </c>
      <c r="R9" s="12" t="n">
        <f aca="false">R6+R7</f>
        <v>0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C24" s="11"/>
      <c r="I24" s="16"/>
      <c r="K24" s="11"/>
      <c r="N24" s="17" t="s">
        <v>24</v>
      </c>
      <c r="O24" s="18" t="n">
        <f aca="false">SUMIFS(BillsTbl_Nov[Actual],BillsTbl_Nov[Category],"Subscriptions")+SUMIFS(TxnTbl_Nov[Amount],TxnTbl_Nov[Category],"Subscriptions")</f>
        <v>0</v>
      </c>
    </row>
    <row r="25" customFormat="false" ht="15" hidden="false" customHeight="false" outlineLevel="0" collapsed="false">
      <c r="C25" s="11"/>
      <c r="I25" s="16"/>
      <c r="K25" s="11"/>
      <c r="N25" s="17" t="s">
        <v>25</v>
      </c>
      <c r="O25" s="18" t="n">
        <f aca="false">SUMIFS(BillsTbl_Nov[Actual],BillsTbl_Nov[Category],"Gas")+SUMIFS(TxnTbl_Nov[Amount],TxnTbl_Nov[Category],"Gas")</f>
        <v>0</v>
      </c>
    </row>
    <row r="26" customFormat="false" ht="15" hidden="false" customHeight="false" outlineLevel="0" collapsed="false">
      <c r="C26" s="11"/>
      <c r="I26" s="16"/>
      <c r="K26" s="11"/>
      <c r="N26" s="17" t="s">
        <v>26</v>
      </c>
      <c r="O26" s="18" t="n">
        <f aca="false">SUMIFS(BillsTbl_Nov[Actual],BillsTbl_Nov[Category],"Other")+SUMIFS(TxnTbl_Nov[Amount],TxnTbl_Nov[Category],"Other")</f>
        <v>0</v>
      </c>
    </row>
    <row r="27" customFormat="false" ht="15" hidden="false" customHeight="false" outlineLevel="0" collapsed="false">
      <c r="C27" s="11"/>
      <c r="I27" s="16"/>
      <c r="K27" s="11"/>
      <c r="N27" s="17" t="s">
        <v>27</v>
      </c>
      <c r="O27" s="18" t="n">
        <f aca="false">SUMIFS(BillsTbl_Nov[Actual],BillsTbl_Nov[Category],"Groceries")+SUMIFS(TxnTbl_Nov[Amount],TxnTbl_Nov[Category],"Groceries")</f>
        <v>0</v>
      </c>
    </row>
    <row r="28" customFormat="false" ht="15" hidden="false" customHeight="false" outlineLevel="0" collapsed="false">
      <c r="C28" s="11"/>
      <c r="I28" s="16"/>
      <c r="K28" s="11"/>
      <c r="N28" s="17" t="s">
        <v>28</v>
      </c>
      <c r="O28" s="18" t="n">
        <f aca="false">SUMIFS(BillsTbl_Nov[Actual],BillsTbl_Nov[Category],"Dining out")+SUMIFS(TxnTbl_Nov[Amount],TxnTbl_Nov[Category],"Dining out")</f>
        <v>0</v>
      </c>
    </row>
    <row r="29" customFormat="false" ht="15" hidden="false" customHeight="false" outlineLevel="0" collapsed="false">
      <c r="C29" s="11"/>
      <c r="I29" s="16"/>
      <c r="K29" s="11"/>
      <c r="N29" s="17" t="s">
        <v>29</v>
      </c>
      <c r="O29" s="18" t="n">
        <f aca="false">SUMIFS(BillsTbl_Nov[Actual],BillsTbl_Nov[Category],"Rent")+SUMIFS(TxnTbl_Nov[Amount],TxnTbl_Nov[Category],"Rent")</f>
        <v>0</v>
      </c>
    </row>
    <row r="30" customFormat="false" ht="15" hidden="false" customHeight="false" outlineLevel="0" collapsed="false">
      <c r="I30" s="16"/>
      <c r="K30" s="11"/>
      <c r="N30" s="17" t="s">
        <v>30</v>
      </c>
      <c r="O30" s="18" t="n">
        <f aca="false">SUMIFS(BillsTbl_Nov[Actual],BillsTbl_Nov[Category],"Shopping")+SUMIFS(TxnTbl_Nov[Amount],TxnTbl_Nov[Category],"Shopping")</f>
        <v>0</v>
      </c>
    </row>
    <row r="31" customFormat="false" ht="15" hidden="false" customHeight="false" outlineLevel="0" collapsed="false">
      <c r="I31" s="16"/>
      <c r="K31" s="11"/>
      <c r="N31" s="17" t="s">
        <v>31</v>
      </c>
      <c r="O31" s="18" t="n">
        <f aca="false">SUMIFS(BillsTbl_Nov[Actual],BillsTbl_Nov[Category],"Credit Card")+SUMIFS(TxnTbl_Nov[Amount],TxnTbl_Nov[Category],"Credit Card")</f>
        <v>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/>
      <c r="K32" s="11"/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0</v>
      </c>
      <c r="I33" s="16"/>
      <c r="K33" s="11"/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0</v>
      </c>
      <c r="I34" s="16"/>
      <c r="K34" s="11"/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0</v>
      </c>
      <c r="I35" s="16"/>
      <c r="K35" s="11"/>
    </row>
    <row r="36" customFormat="false" ht="15" hidden="false" customHeight="false" outlineLevel="0" collapsed="false">
      <c r="I36" s="16"/>
      <c r="K36" s="11"/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/>
      <c r="K37" s="11"/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/>
      <c r="K38" s="11"/>
    </row>
    <row r="39" customFormat="false" ht="15" hidden="false" customHeight="false" outlineLevel="0" collapsed="false">
      <c r="D39" s="11"/>
      <c r="F39" s="11" t="n">
        <f aca="false">IF(E39=TRUE(),D39,0)</f>
        <v>0</v>
      </c>
      <c r="I39" s="16"/>
      <c r="K39" s="11"/>
    </row>
    <row r="40" customFormat="false" ht="15" hidden="false" customHeight="false" outlineLevel="0" collapsed="false">
      <c r="D40" s="11"/>
      <c r="F40" s="11" t="n">
        <f aca="false">IF(E40=TRUE(),D40,0)</f>
        <v>0</v>
      </c>
      <c r="I40" s="16"/>
      <c r="K40" s="11"/>
    </row>
    <row r="41" customFormat="false" ht="15" hidden="false" customHeight="false" outlineLevel="0" collapsed="false">
      <c r="D41" s="11"/>
      <c r="F41" s="11" t="n">
        <f aca="false">IF(E41=TRUE(),D41,0)</f>
        <v>0</v>
      </c>
      <c r="I41" s="16"/>
      <c r="K41" s="11"/>
    </row>
    <row r="42" customFormat="false" ht="15" hidden="false" customHeight="false" outlineLevel="0" collapsed="false">
      <c r="D42" s="11"/>
      <c r="F42" s="11" t="n">
        <f aca="false">IF(E42=TRUE(),D42,0)</f>
        <v>0</v>
      </c>
      <c r="I42" s="16"/>
      <c r="K42" s="11"/>
    </row>
    <row r="43" customFormat="false" ht="15" hidden="false" customHeight="false" outlineLevel="0" collapsed="false">
      <c r="D43" s="11"/>
      <c r="F43" s="11" t="n">
        <f aca="false">IF(E43=TRUE(),D43,0)</f>
        <v>0</v>
      </c>
      <c r="I43" s="16"/>
      <c r="K43" s="11"/>
    </row>
    <row r="44" customFormat="false" ht="15" hidden="false" customHeight="false" outlineLevel="0" collapsed="false">
      <c r="D44" s="11"/>
      <c r="F44" s="11" t="n">
        <f aca="false">IF(E44=TRUE(),D44,0)</f>
        <v>0</v>
      </c>
      <c r="I44" s="16"/>
      <c r="K44" s="11"/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/>
      <c r="K45" s="11"/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/>
      <c r="K46" s="11"/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/>
      <c r="K47" s="11"/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/>
      <c r="K48" s="11"/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/>
      <c r="K49" s="11"/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/>
      <c r="K50" s="11"/>
    </row>
    <row r="51" customFormat="false" ht="15" hidden="false" customHeight="false" outlineLevel="0" collapsed="false">
      <c r="I51" s="16"/>
      <c r="K51" s="11"/>
    </row>
    <row r="52" customFormat="false" ht="15" hidden="false" customHeight="false" outlineLevel="0" collapsed="false">
      <c r="I52" s="16"/>
      <c r="K52" s="11"/>
    </row>
    <row r="53" customFormat="false" ht="15" hidden="false" customHeight="false" outlineLevel="0" collapsed="false">
      <c r="B53" s="13" t="s">
        <v>40</v>
      </c>
      <c r="C53" s="13"/>
      <c r="I53" s="16"/>
      <c r="K53" s="11"/>
    </row>
    <row r="54" customFormat="false" ht="15" hidden="false" customHeight="false" outlineLevel="0" collapsed="false">
      <c r="B54" s="14" t="s">
        <v>41</v>
      </c>
      <c r="C54" s="14" t="s">
        <v>19</v>
      </c>
      <c r="I54" s="16"/>
      <c r="K54" s="11"/>
    </row>
    <row r="55" customFormat="false" ht="15" hidden="false" customHeight="false" outlineLevel="0" collapsed="false">
      <c r="C55" s="11"/>
      <c r="I55" s="16"/>
      <c r="K55" s="11"/>
    </row>
    <row r="56" customFormat="false" ht="15" hidden="false" customHeight="false" outlineLevel="0" collapsed="false">
      <c r="C56" s="11"/>
      <c r="I56" s="16"/>
      <c r="K56" s="11"/>
    </row>
    <row r="57" customFormat="false" ht="15" hidden="false" customHeight="false" outlineLevel="0" collapsed="false">
      <c r="C57" s="11"/>
      <c r="I57" s="16"/>
      <c r="K57" s="11"/>
    </row>
    <row r="58" customFormat="false" ht="15" hidden="false" customHeight="false" outlineLevel="0" collapsed="false">
      <c r="C58" s="11"/>
      <c r="I58" s="16"/>
      <c r="K58" s="11"/>
    </row>
    <row r="59" customFormat="false" ht="15" hidden="false" customHeight="false" outlineLevel="0" collapsed="false">
      <c r="C59" s="11"/>
      <c r="I59" s="16"/>
      <c r="K59" s="11"/>
    </row>
    <row r="60" customFormat="false" ht="15" hidden="false" customHeight="false" outlineLevel="0" collapsed="false">
      <c r="I60" s="16"/>
      <c r="K60" s="11"/>
    </row>
    <row r="61" customFormat="false" ht="15" hidden="false" customHeight="false" outlineLevel="0" collapsed="false">
      <c r="I61" s="16"/>
      <c r="K61" s="11"/>
    </row>
    <row r="62" customFormat="false" ht="15" hidden="false" customHeight="false" outlineLevel="0" collapsed="false">
      <c r="I62" s="16"/>
      <c r="K62" s="11"/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8" min="7" style="0" width="2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"/>
    <col collapsed="false" customWidth="true" hidden="false" outlineLevel="0" max="17" min="17" style="0" width="14"/>
    <col collapsed="false" customWidth="true" hidden="false" outlineLevel="0" max="18" min="18" style="0" width="10"/>
    <col collapsed="false" customWidth="true" hidden="false" outlineLevel="0" max="19" min="19" style="0" width="2"/>
    <col collapsed="false" customWidth="true" hidden="true" outlineLevel="0" max="20" min="20" style="0" width="8"/>
    <col collapsed="false" customWidth="true" hidden="true" outlineLevel="0" max="22" min="21" style="0" width="10"/>
  </cols>
  <sheetData>
    <row r="1" customFormat="false" ht="19.5" hidden="false" customHeight="true" outlineLevel="0" collapsed="false">
      <c r="B1" s="1" t="s">
        <v>116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9.5" hidden="false" customHeight="tru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customFormat="false" ht="15" hidden="false" customHeight="false" outlineLevel="0" collapsed="false">
      <c r="B5" s="3" t="s">
        <v>1</v>
      </c>
      <c r="C5" s="3"/>
      <c r="D5" s="3" t="s">
        <v>2</v>
      </c>
      <c r="E5" s="3"/>
      <c r="F5" s="3" t="s">
        <v>3</v>
      </c>
      <c r="G5" s="3"/>
      <c r="H5" s="3" t="s">
        <v>4</v>
      </c>
      <c r="I5" s="3"/>
      <c r="J5" s="3" t="s">
        <v>5</v>
      </c>
      <c r="K5" s="3"/>
      <c r="Q5" s="4" t="s">
        <v>6</v>
      </c>
      <c r="R5" s="4"/>
      <c r="T5" s="5"/>
      <c r="U5" s="5" t="s">
        <v>7</v>
      </c>
      <c r="V5" s="5" t="s">
        <v>8</v>
      </c>
    </row>
    <row r="6" customFormat="false" ht="18.55" hidden="false" customHeight="false" outlineLevel="0" collapsed="false">
      <c r="B6" s="6" t="n">
        <f aca="false">SUM(IncomeTbl_Dec[Amount])</f>
        <v>0</v>
      </c>
      <c r="C6" s="6"/>
      <c r="D6" s="6" t="n">
        <f aca="false">R6+R7</f>
        <v>0</v>
      </c>
      <c r="E6" s="6"/>
      <c r="F6" s="6" t="n">
        <f aca="false">B6-D6</f>
        <v>0</v>
      </c>
      <c r="G6" s="6"/>
      <c r="H6" s="7" t="n">
        <f aca="false">IFERROR(R8/B6,0)</f>
        <v>0</v>
      </c>
      <c r="I6" s="7"/>
      <c r="J6" s="8" t="str">
        <f aca="false">COUNTIF(BillsTbl_Dec[Paid?],TRUE())&amp;" / "&amp;COUNTA(BillsTbl_Dec[Bill Name])</f>
        <v>0 / 0</v>
      </c>
      <c r="K6" s="8"/>
      <c r="Q6" s="9" t="s">
        <v>9</v>
      </c>
      <c r="R6" s="10" t="n">
        <f aca="false">O31+O27+O25+O29</f>
        <v>0</v>
      </c>
      <c r="T6" s="5" t="s">
        <v>10</v>
      </c>
      <c r="U6" s="11" t="n">
        <f aca="false">C33</f>
        <v>0</v>
      </c>
      <c r="V6" s="11" t="n">
        <f aca="false">R6</f>
        <v>0</v>
      </c>
    </row>
    <row r="7" customFormat="false" ht="15" hidden="false" customHeight="false" outlineLevel="0" collapsed="false">
      <c r="Q7" s="9" t="s">
        <v>11</v>
      </c>
      <c r="R7" s="10" t="n">
        <f aca="false">O26+O28+O24+O30</f>
        <v>0</v>
      </c>
      <c r="T7" s="5" t="s">
        <v>12</v>
      </c>
      <c r="U7" s="11" t="n">
        <f aca="false">C34</f>
        <v>0</v>
      </c>
      <c r="V7" s="11" t="n">
        <f aca="false">R7</f>
        <v>0</v>
      </c>
    </row>
    <row r="8" customFormat="false" ht="15" hidden="false" customHeight="false" outlineLevel="0" collapsed="false">
      <c r="Q8" s="9" t="s">
        <v>13</v>
      </c>
      <c r="R8" s="10" t="n">
        <f aca="false">SUM(SavingsTbl_Dec[Amount])</f>
        <v>0</v>
      </c>
      <c r="T8" s="5" t="s">
        <v>14</v>
      </c>
      <c r="U8" s="11" t="n">
        <f aca="false">C35</f>
        <v>0</v>
      </c>
      <c r="V8" s="11" t="n">
        <f aca="false">R8</f>
        <v>0</v>
      </c>
    </row>
    <row r="9" customFormat="false" ht="15" hidden="false" customHeight="false" outlineLevel="0" collapsed="false">
      <c r="Q9" s="9" t="s">
        <v>2</v>
      </c>
      <c r="R9" s="12" t="n">
        <f aca="false">R6+R7</f>
        <v>0</v>
      </c>
    </row>
    <row r="22" customFormat="false" ht="15" hidden="false" customHeight="false" outlineLevel="0" collapsed="false">
      <c r="B22" s="13" t="s">
        <v>15</v>
      </c>
      <c r="C22" s="13"/>
      <c r="I22" s="13" t="s">
        <v>16</v>
      </c>
      <c r="J22" s="13"/>
      <c r="K22" s="13"/>
      <c r="L22" s="13"/>
      <c r="N22" s="13" t="s">
        <v>17</v>
      </c>
      <c r="O22" s="13"/>
    </row>
    <row r="23" customFormat="false" ht="15" hidden="false" customHeight="false" outlineLevel="0" collapsed="false">
      <c r="B23" s="14" t="s">
        <v>18</v>
      </c>
      <c r="C23" s="14" t="s">
        <v>19</v>
      </c>
      <c r="I23" s="14" t="s">
        <v>20</v>
      </c>
      <c r="J23" s="14" t="s">
        <v>21</v>
      </c>
      <c r="K23" s="14" t="s">
        <v>19</v>
      </c>
      <c r="L23" s="14" t="s">
        <v>22</v>
      </c>
      <c r="N23" s="15" t="s">
        <v>21</v>
      </c>
      <c r="O23" s="15" t="s">
        <v>23</v>
      </c>
    </row>
    <row r="24" customFormat="false" ht="15" hidden="false" customHeight="false" outlineLevel="0" collapsed="false">
      <c r="C24" s="11"/>
      <c r="I24" s="16"/>
      <c r="K24" s="11"/>
      <c r="N24" s="17" t="s">
        <v>24</v>
      </c>
      <c r="O24" s="18" t="n">
        <f aca="false">SUMIFS(BillsTbl_Dec[Actual],BillsTbl_Dec[Category],"Subscriptions")+SUMIFS(TxnTbl_Dec[Amount],TxnTbl_Dec[Category],"Subscriptions")</f>
        <v>0</v>
      </c>
    </row>
    <row r="25" customFormat="false" ht="15" hidden="false" customHeight="false" outlineLevel="0" collapsed="false">
      <c r="C25" s="11"/>
      <c r="I25" s="16"/>
      <c r="K25" s="11"/>
      <c r="N25" s="17" t="s">
        <v>25</v>
      </c>
      <c r="O25" s="18" t="n">
        <f aca="false">SUMIFS(BillsTbl_Dec[Actual],BillsTbl_Dec[Category],"Gas")+SUMIFS(TxnTbl_Dec[Amount],TxnTbl_Dec[Category],"Gas")</f>
        <v>0</v>
      </c>
    </row>
    <row r="26" customFormat="false" ht="15" hidden="false" customHeight="false" outlineLevel="0" collapsed="false">
      <c r="C26" s="11"/>
      <c r="I26" s="16"/>
      <c r="K26" s="11"/>
      <c r="N26" s="17" t="s">
        <v>26</v>
      </c>
      <c r="O26" s="18" t="n">
        <f aca="false">SUMIFS(BillsTbl_Dec[Actual],BillsTbl_Dec[Category],"Other")+SUMIFS(TxnTbl_Dec[Amount],TxnTbl_Dec[Category],"Other")</f>
        <v>0</v>
      </c>
    </row>
    <row r="27" customFormat="false" ht="15" hidden="false" customHeight="false" outlineLevel="0" collapsed="false">
      <c r="C27" s="11"/>
      <c r="I27" s="16"/>
      <c r="K27" s="11"/>
      <c r="N27" s="17" t="s">
        <v>27</v>
      </c>
      <c r="O27" s="18" t="n">
        <f aca="false">SUMIFS(BillsTbl_Dec[Actual],BillsTbl_Dec[Category],"Groceries")+SUMIFS(TxnTbl_Dec[Amount],TxnTbl_Dec[Category],"Groceries")</f>
        <v>0</v>
      </c>
    </row>
    <row r="28" customFormat="false" ht="15" hidden="false" customHeight="false" outlineLevel="0" collapsed="false">
      <c r="C28" s="11"/>
      <c r="I28" s="16"/>
      <c r="K28" s="11"/>
      <c r="N28" s="17" t="s">
        <v>28</v>
      </c>
      <c r="O28" s="18" t="n">
        <f aca="false">SUMIFS(BillsTbl_Dec[Actual],BillsTbl_Dec[Category],"Dining out")+SUMIFS(TxnTbl_Dec[Amount],TxnTbl_Dec[Category],"Dining out")</f>
        <v>0</v>
      </c>
    </row>
    <row r="29" customFormat="false" ht="15" hidden="false" customHeight="false" outlineLevel="0" collapsed="false">
      <c r="C29" s="11"/>
      <c r="I29" s="16"/>
      <c r="K29" s="11"/>
      <c r="N29" s="17" t="s">
        <v>29</v>
      </c>
      <c r="O29" s="18" t="n">
        <f aca="false">SUMIFS(BillsTbl_Dec[Actual],BillsTbl_Dec[Category],"Rent")+SUMIFS(TxnTbl_Dec[Amount],TxnTbl_Dec[Category],"Rent")</f>
        <v>0</v>
      </c>
    </row>
    <row r="30" customFormat="false" ht="15" hidden="false" customHeight="false" outlineLevel="0" collapsed="false">
      <c r="I30" s="16"/>
      <c r="K30" s="11"/>
      <c r="N30" s="17" t="s">
        <v>30</v>
      </c>
      <c r="O30" s="18" t="n">
        <f aca="false">SUMIFS(BillsTbl_Dec[Actual],BillsTbl_Dec[Category],"Shopping")+SUMIFS(TxnTbl_Dec[Amount],TxnTbl_Dec[Category],"Shopping")</f>
        <v>0</v>
      </c>
    </row>
    <row r="31" customFormat="false" ht="15" hidden="false" customHeight="false" outlineLevel="0" collapsed="false">
      <c r="I31" s="16"/>
      <c r="K31" s="11"/>
      <c r="N31" s="17" t="s">
        <v>31</v>
      </c>
      <c r="O31" s="18" t="n">
        <f aca="false">SUMIFS(BillsTbl_Dec[Actual],BillsTbl_Dec[Category],"Credit Card")+SUMIFS(TxnTbl_Dec[Amount],TxnTbl_Dec[Category],"Credit Card")</f>
        <v>0</v>
      </c>
    </row>
    <row r="32" customFormat="false" ht="15" hidden="false" customHeight="false" outlineLevel="0" collapsed="false">
      <c r="B32" s="19" t="s">
        <v>32</v>
      </c>
      <c r="C32" s="14" t="s">
        <v>33</v>
      </c>
      <c r="I32" s="16"/>
      <c r="K32" s="11"/>
    </row>
    <row r="33" customFormat="false" ht="15" hidden="false" customHeight="false" outlineLevel="0" collapsed="false">
      <c r="B33" s="20" t="s">
        <v>34</v>
      </c>
      <c r="C33" s="11" t="n">
        <f aca="false">IF(C32="50/30/20",B6*0.5,IF(C32="70/20/10",B6*0.7,0))</f>
        <v>0</v>
      </c>
      <c r="I33" s="16"/>
      <c r="K33" s="11"/>
    </row>
    <row r="34" customFormat="false" ht="15" hidden="false" customHeight="false" outlineLevel="0" collapsed="false">
      <c r="B34" s="20" t="s">
        <v>35</v>
      </c>
      <c r="C34" s="11" t="n">
        <f aca="false">IF(C32="50/30/20",B6*0.3,IF(C32="70/20/10",B6*0.2,0))</f>
        <v>0</v>
      </c>
      <c r="I34" s="16"/>
      <c r="K34" s="11"/>
    </row>
    <row r="35" customFormat="false" ht="15" hidden="false" customHeight="false" outlineLevel="0" collapsed="false">
      <c r="B35" s="20" t="s">
        <v>36</v>
      </c>
      <c r="C35" s="11" t="n">
        <f aca="false">IF(C32="50/30/20",B6*0.2,IF(C32="70/20/10",B6*0.1,0))</f>
        <v>0</v>
      </c>
      <c r="I35" s="16"/>
      <c r="K35" s="11"/>
    </row>
    <row r="36" customFormat="false" ht="15" hidden="false" customHeight="false" outlineLevel="0" collapsed="false">
      <c r="I36" s="16"/>
      <c r="K36" s="11"/>
    </row>
    <row r="37" customFormat="false" ht="15" hidden="false" customHeight="false" outlineLevel="0" collapsed="false">
      <c r="B37" s="13" t="s">
        <v>37</v>
      </c>
      <c r="C37" s="13"/>
      <c r="D37" s="13"/>
      <c r="E37" s="13"/>
      <c r="F37" s="13"/>
      <c r="I37" s="16"/>
      <c r="K37" s="11"/>
    </row>
    <row r="38" customFormat="false" ht="15" hidden="false" customHeight="false" outlineLevel="0" collapsed="false">
      <c r="B38" s="14" t="s">
        <v>38</v>
      </c>
      <c r="C38" s="14" t="s">
        <v>21</v>
      </c>
      <c r="D38" s="14" t="s">
        <v>19</v>
      </c>
      <c r="E38" s="14" t="s">
        <v>39</v>
      </c>
      <c r="F38" s="14" t="s">
        <v>8</v>
      </c>
      <c r="I38" s="16"/>
      <c r="K38" s="11"/>
    </row>
    <row r="39" customFormat="false" ht="15" hidden="false" customHeight="false" outlineLevel="0" collapsed="false">
      <c r="D39" s="11"/>
      <c r="F39" s="11" t="n">
        <f aca="false">IF(E39=TRUE(),D39,0)</f>
        <v>0</v>
      </c>
      <c r="I39" s="16"/>
      <c r="K39" s="11"/>
    </row>
    <row r="40" customFormat="false" ht="15" hidden="false" customHeight="false" outlineLevel="0" collapsed="false">
      <c r="D40" s="11"/>
      <c r="F40" s="11" t="n">
        <f aca="false">IF(E40=TRUE(),D40,0)</f>
        <v>0</v>
      </c>
      <c r="I40" s="16"/>
      <c r="K40" s="11"/>
    </row>
    <row r="41" customFormat="false" ht="15" hidden="false" customHeight="false" outlineLevel="0" collapsed="false">
      <c r="D41" s="11"/>
      <c r="F41" s="11" t="n">
        <f aca="false">IF(E41=TRUE(),D41,0)</f>
        <v>0</v>
      </c>
      <c r="I41" s="16"/>
      <c r="K41" s="11"/>
    </row>
    <row r="42" customFormat="false" ht="15" hidden="false" customHeight="false" outlineLevel="0" collapsed="false">
      <c r="D42" s="11"/>
      <c r="F42" s="11" t="n">
        <f aca="false">IF(E42=TRUE(),D42,0)</f>
        <v>0</v>
      </c>
      <c r="I42" s="16"/>
      <c r="K42" s="11"/>
    </row>
    <row r="43" customFormat="false" ht="15" hidden="false" customHeight="false" outlineLevel="0" collapsed="false">
      <c r="D43" s="11"/>
      <c r="F43" s="11" t="n">
        <f aca="false">IF(E43=TRUE(),D43,0)</f>
        <v>0</v>
      </c>
      <c r="I43" s="16"/>
      <c r="K43" s="11"/>
    </row>
    <row r="44" customFormat="false" ht="15" hidden="false" customHeight="false" outlineLevel="0" collapsed="false">
      <c r="D44" s="11"/>
      <c r="F44" s="11" t="n">
        <f aca="false">IF(E44=TRUE(),D44,0)</f>
        <v>0</v>
      </c>
      <c r="I44" s="16"/>
      <c r="K44" s="11"/>
    </row>
    <row r="45" customFormat="false" ht="15" hidden="false" customHeight="false" outlineLevel="0" collapsed="false">
      <c r="D45" s="11"/>
      <c r="F45" s="11" t="n">
        <f aca="false">IF(E45=TRUE(),D45,0)</f>
        <v>0</v>
      </c>
      <c r="I45" s="16"/>
      <c r="K45" s="11"/>
    </row>
    <row r="46" customFormat="false" ht="15" hidden="false" customHeight="false" outlineLevel="0" collapsed="false">
      <c r="D46" s="11"/>
      <c r="F46" s="11" t="n">
        <f aca="false">IF(E46=TRUE(),D46,0)</f>
        <v>0</v>
      </c>
      <c r="I46" s="16"/>
      <c r="K46" s="11"/>
    </row>
    <row r="47" customFormat="false" ht="15" hidden="false" customHeight="false" outlineLevel="0" collapsed="false">
      <c r="D47" s="11"/>
      <c r="F47" s="11" t="n">
        <f aca="false">IF(E47=TRUE(),D47,0)</f>
        <v>0</v>
      </c>
      <c r="I47" s="16"/>
      <c r="K47" s="11"/>
    </row>
    <row r="48" customFormat="false" ht="15" hidden="false" customHeight="false" outlineLevel="0" collapsed="false">
      <c r="D48" s="11"/>
      <c r="F48" s="11" t="n">
        <f aca="false">IF(E48=TRUE(),D48,0)</f>
        <v>0</v>
      </c>
      <c r="I48" s="16"/>
      <c r="K48" s="11"/>
    </row>
    <row r="49" customFormat="false" ht="15" hidden="false" customHeight="false" outlineLevel="0" collapsed="false">
      <c r="D49" s="11"/>
      <c r="F49" s="11" t="n">
        <f aca="false">IF(E49=TRUE(),D49,0)</f>
        <v>0</v>
      </c>
      <c r="I49" s="16"/>
      <c r="K49" s="11"/>
    </row>
    <row r="50" customFormat="false" ht="15" hidden="false" customHeight="false" outlineLevel="0" collapsed="false">
      <c r="D50" s="11"/>
      <c r="F50" s="11" t="n">
        <f aca="false">IF(E50=TRUE(),D50,0)</f>
        <v>0</v>
      </c>
      <c r="I50" s="16"/>
      <c r="K50" s="11"/>
    </row>
    <row r="51" customFormat="false" ht="15" hidden="false" customHeight="false" outlineLevel="0" collapsed="false">
      <c r="I51" s="16"/>
      <c r="K51" s="11"/>
    </row>
    <row r="52" customFormat="false" ht="15" hidden="false" customHeight="false" outlineLevel="0" collapsed="false">
      <c r="I52" s="16"/>
      <c r="K52" s="11"/>
    </row>
    <row r="53" customFormat="false" ht="15" hidden="false" customHeight="false" outlineLevel="0" collapsed="false">
      <c r="B53" s="13" t="s">
        <v>40</v>
      </c>
      <c r="C53" s="13"/>
      <c r="I53" s="16"/>
      <c r="K53" s="11"/>
    </row>
    <row r="54" customFormat="false" ht="15" hidden="false" customHeight="false" outlineLevel="0" collapsed="false">
      <c r="B54" s="14" t="s">
        <v>41</v>
      </c>
      <c r="C54" s="14" t="s">
        <v>19</v>
      </c>
      <c r="I54" s="16"/>
      <c r="K54" s="11"/>
    </row>
    <row r="55" customFormat="false" ht="15" hidden="false" customHeight="false" outlineLevel="0" collapsed="false">
      <c r="C55" s="11"/>
      <c r="I55" s="16"/>
      <c r="K55" s="11"/>
    </row>
    <row r="56" customFormat="false" ht="15" hidden="false" customHeight="false" outlineLevel="0" collapsed="false">
      <c r="C56" s="11"/>
      <c r="I56" s="16"/>
      <c r="K56" s="11"/>
    </row>
    <row r="57" customFormat="false" ht="15" hidden="false" customHeight="false" outlineLevel="0" collapsed="false">
      <c r="C57" s="11"/>
      <c r="I57" s="16"/>
      <c r="K57" s="11"/>
    </row>
    <row r="58" customFormat="false" ht="15" hidden="false" customHeight="false" outlineLevel="0" collapsed="false">
      <c r="C58" s="11"/>
      <c r="I58" s="16"/>
      <c r="K58" s="11"/>
    </row>
    <row r="59" customFormat="false" ht="15" hidden="false" customHeight="false" outlineLevel="0" collapsed="false">
      <c r="C59" s="11"/>
      <c r="I59" s="16"/>
      <c r="K59" s="11"/>
    </row>
    <row r="60" customFormat="false" ht="15" hidden="false" customHeight="false" outlineLevel="0" collapsed="false">
      <c r="I60" s="16"/>
      <c r="K60" s="11"/>
    </row>
    <row r="61" customFormat="false" ht="15" hidden="false" customHeight="false" outlineLevel="0" collapsed="false">
      <c r="I61" s="16"/>
      <c r="K61" s="11"/>
    </row>
    <row r="62" customFormat="false" ht="15" hidden="false" customHeight="false" outlineLevel="0" collapsed="false">
      <c r="I62" s="16"/>
      <c r="K62" s="11"/>
    </row>
    <row r="63" customFormat="false" ht="15" hidden="false" customHeight="false" outlineLevel="0" collapsed="false">
      <c r="I63" s="16"/>
      <c r="K63" s="11"/>
    </row>
    <row r="64" customFormat="false" ht="15" hidden="false" customHeight="false" outlineLevel="0" collapsed="false">
      <c r="I64" s="16"/>
      <c r="K64" s="11"/>
    </row>
    <row r="65" customFormat="false" ht="15" hidden="false" customHeight="false" outlineLevel="0" collapsed="false">
      <c r="I65" s="16"/>
      <c r="K65" s="11"/>
    </row>
    <row r="66" customFormat="false" ht="15" hidden="false" customHeight="false" outlineLevel="0" collapsed="false">
      <c r="I66" s="16"/>
      <c r="K66" s="11"/>
    </row>
    <row r="67" customFormat="false" ht="15" hidden="false" customHeight="false" outlineLevel="0" collapsed="false">
      <c r="I67" s="16"/>
      <c r="K67" s="11"/>
    </row>
    <row r="68" customFormat="false" ht="15" hidden="false" customHeight="false" outlineLevel="0" collapsed="false">
      <c r="I68" s="16"/>
      <c r="K68" s="11"/>
    </row>
  </sheetData>
  <mergeCells count="16">
    <mergeCell ref="B5:C5"/>
    <mergeCell ref="D5:E5"/>
    <mergeCell ref="F5:G5"/>
    <mergeCell ref="H5:I5"/>
    <mergeCell ref="J5:K5"/>
    <mergeCell ref="Q5:R5"/>
    <mergeCell ref="B6:C6"/>
    <mergeCell ref="D6:E6"/>
    <mergeCell ref="F6:G6"/>
    <mergeCell ref="H6:I6"/>
    <mergeCell ref="J6:K6"/>
    <mergeCell ref="B22:C22"/>
    <mergeCell ref="I22:L22"/>
    <mergeCell ref="N22:O22"/>
    <mergeCell ref="B37:F37"/>
    <mergeCell ref="B53:C53"/>
  </mergeCells>
  <dataValidations count="4">
    <dataValidation allowBlank="true" errorStyle="stop" operator="between" showDropDown="false" showErrorMessage="false" showInputMessage="false" sqref="C32" type="list">
      <formula1>"50/30/20,70/20/10"</formula1>
      <formula2>0</formula2>
    </dataValidation>
    <dataValidation allowBlank="true" errorStyle="stop" operator="between" showDropDown="false" showErrorMessage="false" showInputMessage="false" sqref="C39:C50" type="list">
      <formula1>"Subscriptions,Gas,Other,Groceries,Dining out,Rent,Shopping,Credit Card"</formula1>
      <formula2>0</formula2>
    </dataValidation>
    <dataValidation allowBlank="true" errorStyle="stop" operator="between" showDropDown="false" showErrorMessage="false" showInputMessage="false" sqref="E39:E50" type="list">
      <formula1>"TRUE,FALSE"</formula1>
      <formula2>0</formula2>
    </dataValidation>
    <dataValidation allowBlank="true" errorStyle="stop" operator="between" showDropDown="false" showErrorMessage="false" showInputMessage="false" sqref="J24:J68" type="list">
      <formula1>"Subscriptions,Gas,Other,Groceries,Dining out,Rent,Shopping,Credit Card"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2025-08-07T19:27:52Z</dcterms:created>
  <dc:creator>Sanchez, Cesar</dc:creator>
  <dc:description/>
  <dc:language>en-US</dc:language>
  <cp:lastModifiedBy/>
  <dcterms:modified xsi:type="dcterms:W3CDTF">2026-06-21T18:47:27Z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